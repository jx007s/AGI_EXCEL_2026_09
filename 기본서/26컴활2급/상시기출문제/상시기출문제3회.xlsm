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9677D371-1E4C-4B07-A5AA-744C75A5A393}" xr6:coauthVersionLast="47" xr6:coauthVersionMax="47" xr10:uidLastSave="{00000000-0000-0000-0000-000000000000}"/>
  <bookViews>
    <workbookView xWindow="22932" yWindow="-108" windowWidth="23256" windowHeight="12576" tabRatio="922" activeTab="8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7" r:id="rId8"/>
    <sheet name="차트작업" sheetId="8" r:id="rId9"/>
  </sheets>
  <definedNames>
    <definedName name="골드">'분석작업-2'!$B$13</definedName>
    <definedName name="일반">'분석작업-2'!$B$12</definedName>
    <definedName name="판매이익합계">'분석작업-2'!$H$10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4" i="7"/>
  <c r="D28" i="4"/>
  <c r="D29" i="4"/>
  <c r="D30" i="4"/>
  <c r="D31" i="4"/>
  <c r="D32" i="4"/>
  <c r="D33" i="4"/>
  <c r="D27" i="4"/>
  <c r="I15" i="4"/>
  <c r="I16" i="4"/>
  <c r="I17" i="4"/>
  <c r="I18" i="4"/>
  <c r="I19" i="4"/>
  <c r="I20" i="4"/>
  <c r="I21" i="4"/>
  <c r="I22" i="4"/>
  <c r="I14" i="4"/>
  <c r="D23" i="4"/>
  <c r="I10" i="4"/>
  <c r="H10" i="4"/>
  <c r="D4" i="4"/>
  <c r="D5" i="4"/>
  <c r="D6" i="4"/>
  <c r="D7" i="4"/>
  <c r="D8" i="4"/>
  <c r="D9" i="4"/>
  <c r="D10" i="4"/>
  <c r="D3" i="4"/>
  <c r="G5" i="6"/>
  <c r="H5" i="6" s="1"/>
  <c r="G6" i="6"/>
  <c r="H6" i="6" s="1"/>
  <c r="G7" i="6"/>
  <c r="H7" i="6" s="1"/>
  <c r="G8" i="6"/>
  <c r="H8" i="6" s="1"/>
  <c r="G9" i="6"/>
  <c r="H9" i="6" s="1"/>
  <c r="G4" i="6"/>
  <c r="H4" i="6" s="1"/>
  <c r="E10" i="6"/>
  <c r="F9" i="6"/>
  <c r="F8" i="6"/>
  <c r="F7" i="6"/>
  <c r="F6" i="6"/>
  <c r="F5" i="6"/>
  <c r="F4" i="6"/>
  <c r="F10" i="6" l="1"/>
  <c r="E15" i="5"/>
  <c r="F15" i="5" s="1"/>
  <c r="E5" i="5"/>
  <c r="F5" i="5" s="1"/>
  <c r="E11" i="5"/>
  <c r="F11" i="5" s="1"/>
  <c r="E14" i="5"/>
  <c r="F14" i="5" s="1"/>
  <c r="E9" i="5"/>
  <c r="F9" i="5" s="1"/>
  <c r="E7" i="5"/>
  <c r="F7" i="5" s="1"/>
  <c r="E13" i="5"/>
  <c r="F13" i="5" s="1"/>
  <c r="E8" i="5"/>
  <c r="F8" i="5" s="1"/>
  <c r="E6" i="5"/>
  <c r="F6" i="5" s="1"/>
  <c r="E12" i="5"/>
  <c r="F12" i="5" s="1"/>
  <c r="E10" i="5"/>
  <c r="F10" i="5" s="1"/>
  <c r="E4" i="5"/>
  <c r="F4" i="5" s="1"/>
  <c r="G10" i="6" l="1"/>
  <c r="H10" i="6"/>
</calcChain>
</file>

<file path=xl/sharedStrings.xml><?xml version="1.0" encoding="utf-8"?>
<sst xmlns="http://schemas.openxmlformats.org/spreadsheetml/2006/main" count="307" uniqueCount="246">
  <si>
    <t>건강관리센터 회원명단</t>
    <phoneticPr fontId="3" type="noConversion"/>
  </si>
  <si>
    <t>[표1]</t>
    <phoneticPr fontId="3" type="noConversion"/>
  </si>
  <si>
    <t>시작시간</t>
    <phoneticPr fontId="3" type="noConversion"/>
  </si>
  <si>
    <t>전자제품 판매현황</t>
    <phoneticPr fontId="3" type="noConversion"/>
  </si>
  <si>
    <t>판매일자</t>
    <phoneticPr fontId="3" type="noConversion"/>
  </si>
  <si>
    <t>구분</t>
    <phoneticPr fontId="3" type="noConversion"/>
  </si>
  <si>
    <t>판매단가</t>
    <phoneticPr fontId="3" type="noConversion"/>
  </si>
  <si>
    <t>판매량</t>
    <phoneticPr fontId="3" type="noConversion"/>
  </si>
  <si>
    <t>판매금액</t>
    <phoneticPr fontId="3" type="noConversion"/>
  </si>
  <si>
    <t>판매이익</t>
    <phoneticPr fontId="3" type="noConversion"/>
  </si>
  <si>
    <t>6월1일</t>
    <phoneticPr fontId="3" type="noConversion"/>
  </si>
  <si>
    <t>노트북</t>
  </si>
  <si>
    <t>TV</t>
  </si>
  <si>
    <t>컴퓨터</t>
  </si>
  <si>
    <t>6월2일</t>
    <phoneticPr fontId="3" type="noConversion"/>
  </si>
  <si>
    <t>6월3일</t>
    <phoneticPr fontId="3" type="noConversion"/>
  </si>
  <si>
    <t>6월4일</t>
    <phoneticPr fontId="3" type="noConversion"/>
  </si>
  <si>
    <t>노트북</t>
    <phoneticPr fontId="3" type="noConversion"/>
  </si>
  <si>
    <t>TV</t>
    <phoneticPr fontId="3" type="noConversion"/>
  </si>
  <si>
    <t>판매 현황</t>
    <phoneticPr fontId="6" type="noConversion"/>
  </si>
  <si>
    <t>원가</t>
    <phoneticPr fontId="6" type="noConversion"/>
  </si>
  <si>
    <t>판매가</t>
    <phoneticPr fontId="6" type="noConversion"/>
  </si>
  <si>
    <t>판매량</t>
    <phoneticPr fontId="6" type="noConversion"/>
  </si>
  <si>
    <t>판매금액</t>
    <phoneticPr fontId="6" type="noConversion"/>
  </si>
  <si>
    <t>할인금액</t>
    <phoneticPr fontId="6" type="noConversion"/>
  </si>
  <si>
    <t>이익금</t>
    <phoneticPr fontId="6" type="noConversion"/>
  </si>
  <si>
    <t>합계</t>
    <phoneticPr fontId="6" type="noConversion"/>
  </si>
  <si>
    <t>일반</t>
    <phoneticPr fontId="6" type="noConversion"/>
  </si>
  <si>
    <t>골드</t>
    <phoneticPr fontId="6" type="noConversion"/>
  </si>
  <si>
    <t>일반</t>
    <phoneticPr fontId="3" type="noConversion"/>
  </si>
  <si>
    <t>골드</t>
    <phoneticPr fontId="3" type="noConversion"/>
  </si>
  <si>
    <t>제품코드</t>
    <phoneticPr fontId="6" type="noConversion"/>
  </si>
  <si>
    <t>MP-12AD</t>
    <phoneticPr fontId="3" type="noConversion"/>
  </si>
  <si>
    <t>TH-25LD</t>
    <phoneticPr fontId="3" type="noConversion"/>
  </si>
  <si>
    <t>DC-72TG</t>
    <phoneticPr fontId="3" type="noConversion"/>
  </si>
  <si>
    <t>TH-81BE</t>
    <phoneticPr fontId="3" type="noConversion"/>
  </si>
  <si>
    <t>MP-33PA</t>
    <phoneticPr fontId="3" type="noConversion"/>
  </si>
  <si>
    <t>DC-94SN</t>
    <phoneticPr fontId="3" type="noConversion"/>
  </si>
  <si>
    <t>[표1]1/4분기 영업현황표(우수자)</t>
    <phoneticPr fontId="6" type="noConversion"/>
  </si>
  <si>
    <t>단위 : 천</t>
    <phoneticPr fontId="6" type="noConversion"/>
  </si>
  <si>
    <t>지점</t>
    <phoneticPr fontId="6" type="noConversion"/>
  </si>
  <si>
    <t>직책</t>
    <phoneticPr fontId="6" type="noConversion"/>
  </si>
  <si>
    <t>성명</t>
    <phoneticPr fontId="6" type="noConversion"/>
  </si>
  <si>
    <t>1월</t>
    <phoneticPr fontId="6" type="noConversion"/>
  </si>
  <si>
    <t>2월</t>
  </si>
  <si>
    <t>3월</t>
  </si>
  <si>
    <t>분당</t>
    <phoneticPr fontId="6" type="noConversion"/>
  </si>
  <si>
    <t>과장</t>
    <phoneticPr fontId="6" type="noConversion"/>
  </si>
  <si>
    <t>안유경</t>
    <phoneticPr fontId="6" type="noConversion"/>
  </si>
  <si>
    <t>일산</t>
    <phoneticPr fontId="6" type="noConversion"/>
  </si>
  <si>
    <t>이원섭</t>
    <phoneticPr fontId="6" type="noConversion"/>
  </si>
  <si>
    <t>대리</t>
    <phoneticPr fontId="6" type="noConversion"/>
  </si>
  <si>
    <t>금일영</t>
    <phoneticPr fontId="6" type="noConversion"/>
  </si>
  <si>
    <t>남양주</t>
    <phoneticPr fontId="6" type="noConversion"/>
  </si>
  <si>
    <t>최재석</t>
    <phoneticPr fontId="6" type="noConversion"/>
  </si>
  <si>
    <t>차장</t>
    <phoneticPr fontId="6" type="noConversion"/>
  </si>
  <si>
    <t>최영석</t>
    <phoneticPr fontId="6" type="noConversion"/>
  </si>
  <si>
    <t>홍지원</t>
    <phoneticPr fontId="6" type="noConversion"/>
  </si>
  <si>
    <t>김경신</t>
    <phoneticPr fontId="6" type="noConversion"/>
  </si>
  <si>
    <t>평균</t>
    <phoneticPr fontId="6" type="noConversion"/>
  </si>
  <si>
    <t>지점명</t>
    <phoneticPr fontId="6" type="noConversion"/>
  </si>
  <si>
    <t>계약건수</t>
    <phoneticPr fontId="6" type="noConversion"/>
  </si>
  <si>
    <t>계약총액</t>
    <phoneticPr fontId="6" type="noConversion"/>
  </si>
  <si>
    <t>구현서</t>
    <phoneticPr fontId="6" type="noConversion"/>
  </si>
  <si>
    <t>영등포</t>
    <phoneticPr fontId="6" type="noConversion"/>
  </si>
  <si>
    <t>김경화</t>
    <phoneticPr fontId="6" type="noConversion"/>
  </si>
  <si>
    <t>광화문</t>
    <phoneticPr fontId="6" type="noConversion"/>
  </si>
  <si>
    <t>최준기</t>
    <phoneticPr fontId="6" type="noConversion"/>
  </si>
  <si>
    <t>유근선</t>
    <phoneticPr fontId="6" type="noConversion"/>
  </si>
  <si>
    <t>김은혜</t>
    <phoneticPr fontId="6" type="noConversion"/>
  </si>
  <si>
    <t>허윤기</t>
    <phoneticPr fontId="6" type="noConversion"/>
  </si>
  <si>
    <t>유제관</t>
    <phoneticPr fontId="6" type="noConversion"/>
  </si>
  <si>
    <t>[표2]</t>
    <phoneticPr fontId="6" type="noConversion"/>
  </si>
  <si>
    <t>&lt;조건&gt;</t>
    <phoneticPr fontId="3" type="noConversion"/>
  </si>
  <si>
    <t>광화문 지점 평균</t>
    <phoneticPr fontId="6" type="noConversion"/>
  </si>
  <si>
    <t>[표3]</t>
    <phoneticPr fontId="3" type="noConversion"/>
  </si>
  <si>
    <t>과학점수</t>
    <phoneticPr fontId="3" type="noConversion"/>
  </si>
  <si>
    <t>영어점수</t>
    <phoneticPr fontId="3" type="noConversion"/>
  </si>
  <si>
    <t>이름</t>
    <phoneticPr fontId="6" type="noConversion"/>
  </si>
  <si>
    <t>이은정</t>
    <phoneticPr fontId="6" type="noConversion"/>
  </si>
  <si>
    <t>박흥석</t>
    <phoneticPr fontId="6" type="noConversion"/>
  </si>
  <si>
    <t>고수정</t>
    <phoneticPr fontId="6" type="noConversion"/>
  </si>
  <si>
    <t>한성일</t>
    <phoneticPr fontId="6" type="noConversion"/>
  </si>
  <si>
    <t>국어점수</t>
    <phoneticPr fontId="3" type="noConversion"/>
  </si>
  <si>
    <t>영어, 과학 우수 학생비율</t>
    <phoneticPr fontId="3" type="noConversion"/>
  </si>
  <si>
    <t>학과</t>
    <phoneticPr fontId="6" type="noConversion"/>
  </si>
  <si>
    <t>평가점수</t>
    <phoneticPr fontId="6" type="noConversion"/>
  </si>
  <si>
    <t>고승수</t>
    <phoneticPr fontId="6" type="noConversion"/>
  </si>
  <si>
    <t>구만리</t>
    <phoneticPr fontId="6" type="noConversion"/>
  </si>
  <si>
    <t>노상식</t>
    <phoneticPr fontId="6" type="noConversion"/>
  </si>
  <si>
    <t>나잘난</t>
    <phoneticPr fontId="6" type="noConversion"/>
  </si>
  <si>
    <t>마고수</t>
    <phoneticPr fontId="6" type="noConversion"/>
  </si>
  <si>
    <t>박흥철</t>
    <phoneticPr fontId="6" type="noConversion"/>
  </si>
  <si>
    <t>사수해</t>
    <phoneticPr fontId="6" type="noConversion"/>
  </si>
  <si>
    <t>[표5]</t>
    <phoneticPr fontId="3" type="noConversion"/>
  </si>
  <si>
    <t>학과코드</t>
    <phoneticPr fontId="3" type="noConversion"/>
  </si>
  <si>
    <t>학과</t>
    <phoneticPr fontId="3" type="noConversion"/>
  </si>
  <si>
    <t>디자인</t>
    <phoneticPr fontId="3" type="noConversion"/>
  </si>
  <si>
    <t>미디어</t>
    <phoneticPr fontId="3" type="noConversion"/>
  </si>
  <si>
    <t>컴퓨터</t>
    <phoneticPr fontId="3" type="noConversion"/>
  </si>
  <si>
    <t>학번</t>
    <phoneticPr fontId="6" type="noConversion"/>
  </si>
  <si>
    <t>DE</t>
    <phoneticPr fontId="3" type="noConversion"/>
  </si>
  <si>
    <t>CO</t>
    <phoneticPr fontId="3" type="noConversion"/>
  </si>
  <si>
    <t>DE101</t>
    <phoneticPr fontId="3" type="noConversion"/>
  </si>
  <si>
    <t>MI</t>
    <phoneticPr fontId="3" type="noConversion"/>
  </si>
  <si>
    <t>CO303</t>
    <phoneticPr fontId="3" type="noConversion"/>
  </si>
  <si>
    <t>DE202</t>
    <phoneticPr fontId="3" type="noConversion"/>
  </si>
  <si>
    <t>MI404</t>
    <phoneticPr fontId="3" type="noConversion"/>
  </si>
  <si>
    <t>CO214</t>
    <phoneticPr fontId="3" type="noConversion"/>
  </si>
  <si>
    <t>DE981</t>
    <phoneticPr fontId="3" type="noConversion"/>
  </si>
  <si>
    <t>[표4]</t>
    <phoneticPr fontId="3" type="noConversion"/>
  </si>
  <si>
    <t>구분</t>
  </si>
  <si>
    <t>2022년</t>
    <phoneticPr fontId="3" type="noConversion"/>
  </si>
  <si>
    <t>2023년</t>
  </si>
  <si>
    <t>2024년</t>
  </si>
  <si>
    <t>2025년</t>
  </si>
  <si>
    <t>상여금</t>
    <phoneticPr fontId="3" type="noConversion"/>
  </si>
  <si>
    <t>복지비</t>
    <phoneticPr fontId="3" type="noConversion"/>
  </si>
  <si>
    <t>교통비</t>
    <phoneticPr fontId="3" type="noConversion"/>
  </si>
  <si>
    <t>국제통상학</t>
    <phoneticPr fontId="3" type="noConversion"/>
  </si>
  <si>
    <t>융합디자인학</t>
    <phoneticPr fontId="3" type="noConversion"/>
  </si>
  <si>
    <t>핀테크</t>
    <phoneticPr fontId="3" type="noConversion"/>
  </si>
  <si>
    <t>인지과학</t>
    <phoneticPr fontId="3" type="noConversion"/>
  </si>
  <si>
    <t>공공리더십</t>
    <phoneticPr fontId="3" type="noConversion"/>
  </si>
  <si>
    <t>디지털예술학</t>
    <phoneticPr fontId="3" type="noConversion"/>
  </si>
  <si>
    <t>외교통상학</t>
    <phoneticPr fontId="3" type="noConversion"/>
  </si>
  <si>
    <t>지역혁신인재</t>
    <phoneticPr fontId="3" type="noConversion"/>
  </si>
  <si>
    <t>의료융합전공</t>
    <phoneticPr fontId="3" type="noConversion"/>
  </si>
  <si>
    <t>에너지융합전공</t>
    <phoneticPr fontId="3" type="noConversion"/>
  </si>
  <si>
    <t>연계전공 가능 전공</t>
    <phoneticPr fontId="3" type="noConversion"/>
  </si>
  <si>
    <t>과목명</t>
    <phoneticPr fontId="3" type="noConversion"/>
  </si>
  <si>
    <t>미래</t>
    <phoneticPr fontId="3" type="noConversion"/>
  </si>
  <si>
    <t>서울</t>
    <phoneticPr fontId="3" type="noConversion"/>
  </si>
  <si>
    <t>모집인원</t>
    <phoneticPr fontId="3" type="noConversion"/>
  </si>
  <si>
    <t>월</t>
    <phoneticPr fontId="3" type="noConversion"/>
  </si>
  <si>
    <t>화</t>
    <phoneticPr fontId="3" type="noConversion"/>
  </si>
  <si>
    <t>수</t>
    <phoneticPr fontId="3" type="noConversion"/>
  </si>
  <si>
    <t>목</t>
    <phoneticPr fontId="3" type="noConversion"/>
  </si>
  <si>
    <t>과목코드</t>
    <phoneticPr fontId="3" type="noConversion"/>
  </si>
  <si>
    <t>수업요일</t>
    <phoneticPr fontId="3" type="noConversion"/>
  </si>
  <si>
    <t>학점</t>
    <phoneticPr fontId="3" type="noConversion"/>
  </si>
  <si>
    <t>담당교수</t>
    <phoneticPr fontId="3" type="noConversion"/>
  </si>
  <si>
    <t>이철호</t>
    <phoneticPr fontId="3" type="noConversion"/>
  </si>
  <si>
    <t>김갑수</t>
    <phoneticPr fontId="3" type="noConversion"/>
  </si>
  <si>
    <t>오대국</t>
    <phoneticPr fontId="3" type="noConversion"/>
  </si>
  <si>
    <t>송정수</t>
    <phoneticPr fontId="3" type="noConversion"/>
  </si>
  <si>
    <t>강호찬</t>
    <phoneticPr fontId="3" type="noConversion"/>
  </si>
  <si>
    <t>최한국</t>
    <phoneticPr fontId="3" type="noConversion"/>
  </si>
  <si>
    <t>전부강</t>
    <phoneticPr fontId="3" type="noConversion"/>
  </si>
  <si>
    <t>황태호</t>
    <phoneticPr fontId="3" type="noConversion"/>
  </si>
  <si>
    <t>박가수</t>
    <phoneticPr fontId="3" type="noConversion"/>
  </si>
  <si>
    <t>유보순</t>
    <phoneticPr fontId="3" type="noConversion"/>
  </si>
  <si>
    <t>KJ230</t>
    <phoneticPr fontId="3" type="noConversion"/>
  </si>
  <si>
    <t>YD124</t>
    <phoneticPr fontId="3" type="noConversion"/>
  </si>
  <si>
    <t>PT642</t>
    <phoneticPr fontId="3" type="noConversion"/>
  </si>
  <si>
    <t>GH988</t>
    <phoneticPr fontId="3" type="noConversion"/>
  </si>
  <si>
    <t>YH187</t>
    <phoneticPr fontId="3" type="noConversion"/>
  </si>
  <si>
    <t>EG563</t>
    <phoneticPr fontId="3" type="noConversion"/>
  </si>
  <si>
    <t>IG643</t>
    <phoneticPr fontId="3" type="noConversion"/>
  </si>
  <si>
    <t>GG912</t>
    <phoneticPr fontId="3" type="noConversion"/>
  </si>
  <si>
    <t>DG982</t>
    <phoneticPr fontId="3" type="noConversion"/>
  </si>
  <si>
    <t>IT347</t>
    <phoneticPr fontId="3" type="noConversion"/>
  </si>
  <si>
    <t>종료시간</t>
    <phoneticPr fontId="3" type="noConversion"/>
  </si>
  <si>
    <t>이용시간</t>
    <phoneticPr fontId="3" type="noConversion"/>
  </si>
  <si>
    <t>고객번호</t>
    <phoneticPr fontId="3" type="noConversion"/>
  </si>
  <si>
    <t>T-1235</t>
    <phoneticPr fontId="3" type="noConversion"/>
  </si>
  <si>
    <t>S-5871</t>
    <phoneticPr fontId="3" type="noConversion"/>
  </si>
  <si>
    <t>T-9874</t>
    <phoneticPr fontId="3" type="noConversion"/>
  </si>
  <si>
    <t>S-1258</t>
    <phoneticPr fontId="3" type="noConversion"/>
  </si>
  <si>
    <t>T-7410</t>
    <phoneticPr fontId="3" type="noConversion"/>
  </si>
  <si>
    <t>S-8522</t>
    <phoneticPr fontId="3" type="noConversion"/>
  </si>
  <si>
    <t>S-9654</t>
    <phoneticPr fontId="3" type="noConversion"/>
  </si>
  <si>
    <t>T-5478</t>
    <phoneticPr fontId="3" type="noConversion"/>
  </si>
  <si>
    <t>&lt;학과코드표&gt;</t>
    <phoneticPr fontId="3" type="noConversion"/>
  </si>
  <si>
    <t>MT203</t>
    <phoneticPr fontId="3" type="noConversion"/>
  </si>
  <si>
    <t>입사일</t>
    <phoneticPr fontId="3" type="noConversion"/>
  </si>
  <si>
    <t>지역</t>
    <phoneticPr fontId="3" type="noConversion"/>
  </si>
  <si>
    <t>경기</t>
    <phoneticPr fontId="3" type="noConversion"/>
  </si>
  <si>
    <t>대전</t>
    <phoneticPr fontId="3" type="noConversion"/>
  </si>
  <si>
    <t>부산</t>
    <phoneticPr fontId="3" type="noConversion"/>
  </si>
  <si>
    <t>광주</t>
    <phoneticPr fontId="3" type="noConversion"/>
  </si>
  <si>
    <t>대구</t>
    <phoneticPr fontId="3" type="noConversion"/>
  </si>
  <si>
    <t>인천</t>
    <phoneticPr fontId="3" type="noConversion"/>
  </si>
  <si>
    <t>이름</t>
    <phoneticPr fontId="3" type="noConversion"/>
  </si>
  <si>
    <t>기준일</t>
    <phoneticPr fontId="3" type="noConversion"/>
  </si>
  <si>
    <t>휴가일수</t>
    <phoneticPr fontId="3" type="noConversion"/>
  </si>
  <si>
    <t>강호빈</t>
    <phoneticPr fontId="3" type="noConversion"/>
  </si>
  <si>
    <t>김소진</t>
    <phoneticPr fontId="3" type="noConversion"/>
  </si>
  <si>
    <t>최한나</t>
    <phoneticPr fontId="3" type="noConversion"/>
  </si>
  <si>
    <t>전미자</t>
    <phoneticPr fontId="3" type="noConversion"/>
  </si>
  <si>
    <t>황구연</t>
    <phoneticPr fontId="3" type="noConversion"/>
  </si>
  <si>
    <t>이보준</t>
    <phoneticPr fontId="3" type="noConversion"/>
  </si>
  <si>
    <t>유승하</t>
    <phoneticPr fontId="3" type="noConversion"/>
  </si>
  <si>
    <t>박춘미</t>
    <phoneticPr fontId="3" type="noConversion"/>
  </si>
  <si>
    <t>오조국</t>
    <phoneticPr fontId="3" type="noConversion"/>
  </si>
  <si>
    <t>3~5월 봄꽃 축제</t>
    <phoneticPr fontId="3" type="noConversion"/>
  </si>
  <si>
    <t>區分</t>
    <phoneticPr fontId="3" type="noConversion"/>
  </si>
  <si>
    <t>회원번호</t>
  </si>
  <si>
    <t>회원명</t>
  </si>
  <si>
    <t>회원구분</t>
  </si>
  <si>
    <t>종목</t>
  </si>
  <si>
    <t>등록일</t>
  </si>
  <si>
    <t>회비</t>
  </si>
  <si>
    <t>ST-9980</t>
  </si>
  <si>
    <t>홍민영</t>
  </si>
  <si>
    <t>정회원</t>
  </si>
  <si>
    <t>골프</t>
  </si>
  <si>
    <t>3월 1일</t>
  </si>
  <si>
    <t>QW-1597</t>
  </si>
  <si>
    <t>박진형</t>
  </si>
  <si>
    <t>준회원</t>
  </si>
  <si>
    <t>수영</t>
  </si>
  <si>
    <t>2월 10일</t>
  </si>
  <si>
    <t>BN-7541</t>
  </si>
  <si>
    <t>이소라</t>
  </si>
  <si>
    <t>테니스</t>
  </si>
  <si>
    <t>4월 4일</t>
  </si>
  <si>
    <t>QW-5784</t>
  </si>
  <si>
    <t>이나영</t>
  </si>
  <si>
    <t>5월 2일</t>
  </si>
  <si>
    <t>ST-6543</t>
  </si>
  <si>
    <t>송성례</t>
  </si>
  <si>
    <t>7월 5일</t>
  </si>
  <si>
    <t>BN-2589</t>
  </si>
  <si>
    <t>민상준</t>
  </si>
  <si>
    <t>9월 13일</t>
  </si>
  <si>
    <t>OP-5556</t>
  </si>
  <si>
    <t>최영찬</t>
  </si>
  <si>
    <t>헬스</t>
  </si>
  <si>
    <t>10월 19일</t>
  </si>
  <si>
    <t>OP-6363</t>
  </si>
  <si>
    <t>황부영</t>
  </si>
  <si>
    <t>11월 11일</t>
  </si>
  <si>
    <t>일반</t>
  </si>
  <si>
    <t>골드</t>
  </si>
  <si>
    <t>판매이익합계</t>
  </si>
  <si>
    <t>인상</t>
  </si>
  <si>
    <t>만든 사람 mbc 날짜 2026-09-14</t>
  </si>
  <si>
    <t>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</si>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</sst>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@&quot;요일&quot;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3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2" fillId="0" borderId="1" xfId="1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7" fillId="0" borderId="2" xfId="1" applyFont="1" applyBorder="1" applyAlignment="1">
      <alignment vertical="center"/>
    </xf>
    <xf numFmtId="0" fontId="7" fillId="0" borderId="1" xfId="0" applyFont="1" applyBorder="1">
      <alignment vertical="center"/>
    </xf>
    <xf numFmtId="0" fontId="7" fillId="0" borderId="3" xfId="0" applyFont="1" applyBorder="1">
      <alignment vertical="center"/>
    </xf>
    <xf numFmtId="41" fontId="7" fillId="0" borderId="1" xfId="0" applyNumberFormat="1" applyFont="1" applyBorder="1">
      <alignment vertical="center"/>
    </xf>
    <xf numFmtId="9" fontId="7" fillId="0" borderId="1" xfId="0" applyNumberFormat="1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9" fontId="7" fillId="0" borderId="0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41" fontId="7" fillId="0" borderId="2" xfId="1" applyFont="1" applyBorder="1" applyAlignment="1">
      <alignment horizontal="center" vertical="center"/>
    </xf>
    <xf numFmtId="0" fontId="8" fillId="0" borderId="0" xfId="0" applyFon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9" fontId="8" fillId="0" borderId="1" xfId="2" applyFont="1" applyFill="1" applyBorder="1">
      <alignment vertical="center"/>
    </xf>
    <xf numFmtId="0" fontId="0" fillId="0" borderId="0" xfId="0" applyFill="1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5" xfId="3" applyAlignment="1">
      <alignment horizontal="centerContinuous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10" fillId="3" borderId="6" xfId="4" applyBorder="1">
      <alignment vertical="center"/>
    </xf>
    <xf numFmtId="0" fontId="10" fillId="3" borderId="7" xfId="4" applyBorder="1">
      <alignment vertical="center"/>
    </xf>
    <xf numFmtId="0" fontId="10" fillId="3" borderId="8" xfId="4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5" xfId="0" applyNumberFormat="1" applyFill="1" applyBorder="1" applyAlignment="1">
      <alignment vertical="center"/>
    </xf>
    <xf numFmtId="0" fontId="12" fillId="4" borderId="16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left" vertical="center"/>
    </xf>
    <xf numFmtId="0" fontId="12" fillId="4" borderId="14" xfId="0" applyFont="1" applyFill="1" applyBorder="1" applyAlignment="1">
      <alignment horizontal="left" vertical="center"/>
    </xf>
    <xf numFmtId="0" fontId="0" fillId="0" borderId="17" xfId="0" applyFill="1" applyBorder="1" applyAlignment="1">
      <alignment vertical="center"/>
    </xf>
    <xf numFmtId="0" fontId="13" fillId="5" borderId="0" xfId="0" applyFont="1" applyFill="1" applyBorder="1" applyAlignment="1">
      <alignment horizontal="left" vertical="center"/>
    </xf>
    <xf numFmtId="0" fontId="14" fillId="5" borderId="17" xfId="0" applyFont="1" applyFill="1" applyBorder="1" applyAlignment="1">
      <alignment horizontal="left" vertical="center"/>
    </xf>
    <xf numFmtId="0" fontId="15" fillId="5" borderId="17" xfId="0" applyFont="1" applyFill="1" applyBorder="1" applyAlignment="1">
      <alignment horizontal="left" vertical="center"/>
    </xf>
    <xf numFmtId="0" fontId="13" fillId="5" borderId="15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right" vertical="center"/>
    </xf>
    <xf numFmtId="0" fontId="11" fillId="4" borderId="16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6" fillId="0" borderId="0" xfId="0" applyFont="1" applyFill="1" applyBorder="1" applyAlignment="1">
      <alignment vertical="top" wrapText="1"/>
    </xf>
    <xf numFmtId="41" fontId="0" fillId="7" borderId="1" xfId="1" applyFont="1" applyFill="1" applyBorder="1" applyAlignment="1">
      <alignment horizontal="center" vertical="center"/>
    </xf>
  </cellXfs>
  <cellStyles count="5">
    <cellStyle name="강조색4" xfId="4" builtinId="41"/>
    <cellStyle name="백분율" xfId="2" builtinId="5"/>
    <cellStyle name="쉼표 [0]" xfId="1" builtinId="6"/>
    <cellStyle name="제목 2" xfId="3" builtinId="17"/>
    <cellStyle name="표준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2"/>
        <charset val="129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차트작업!$A$3:$A$5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차트작업!$D$3:$D$5</c:f>
              <c:numCache>
                <c:formatCode>_(* #,##0_);_(* \(#,##0\);_(* "-"_);_(@_)</c:formatCode>
                <c:ptCount val="3"/>
                <c:pt idx="0">
                  <c:v>3550000</c:v>
                </c:pt>
                <c:pt idx="1">
                  <c:v>2621000</c:v>
                </c:pt>
                <c:pt idx="2">
                  <c:v>2750000</c:v>
                </c:pt>
              </c:numCache>
            </c:numRef>
          </c:val>
          <c:shape val="cylinder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AF8D-4C54-AE7E-EC42C82A11EA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C-4B28-8ABF-555F8913EEF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차트작업!$A$3:$A$5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차트작업!$E$3:$E$5</c:f>
              <c:numCache>
                <c:formatCode>_(* #,##0_);_(* \(#,##0\);_(* "-"_);_(@_)</c:formatCode>
                <c:ptCount val="3"/>
                <c:pt idx="0">
                  <c:v>4358000</c:v>
                </c:pt>
                <c:pt idx="1">
                  <c:v>1850000</c:v>
                </c:pt>
                <c:pt idx="2">
                  <c:v>1820000</c:v>
                </c:pt>
              </c:numCache>
            </c:numRef>
          </c:val>
          <c:shape val="cylinder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EEC-4B28-8ABF-555F8913EEFE}"/>
            </c:ext>
          </c:extLst>
        </c:ser>
        <c:ser>
          <c:idx val="0"/>
          <c:order val="2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5EEC-4B28-8ABF-555F8913E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58475183"/>
        <c:axId val="1858467279"/>
        <c:axId val="0"/>
      </c:bar3DChart>
      <c:catAx>
        <c:axId val="185847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67279"/>
        <c:crosses val="autoZero"/>
        <c:auto val="1"/>
        <c:lblAlgn val="ctr"/>
        <c:lblOffset val="100"/>
        <c:noMultiLvlLbl val="0"/>
      </c:catAx>
      <c:valAx>
        <c:axId val="1858467279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7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6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9</xdr:col>
          <xdr:colOff>657225</xdr:colOff>
          <xdr:row>3</xdr:row>
          <xdr:rowOff>200025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26505</xdr:colOff>
      <xdr:row>5</xdr:row>
      <xdr:rowOff>13252</xdr:rowOff>
    </xdr:from>
    <xdr:to>
      <xdr:col>9</xdr:col>
      <xdr:colOff>662609</xdr:colOff>
      <xdr:row>6</xdr:row>
      <xdr:rowOff>198782</xdr:rowOff>
    </xdr:to>
    <xdr:sp macro="[0]!서식" textlink="">
      <xdr:nvSpPr>
        <xdr:cNvPr id="2" name="정육면체 1">
          <a:extLst>
            <a:ext uri="{FF2B5EF4-FFF2-40B4-BE49-F238E27FC236}">
              <a16:creationId xmlns:a16="http://schemas.microsoft.com/office/drawing/2014/main" id="{8FB6B441-5344-4CB7-AB67-7C36C664DF24}"/>
            </a:ext>
          </a:extLst>
        </xdr:cNvPr>
        <xdr:cNvSpPr/>
      </xdr:nvSpPr>
      <xdr:spPr>
        <a:xfrm>
          <a:off x="5539409" y="1073426"/>
          <a:ext cx="1325217" cy="39756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685799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1ECC799-107C-4D12-9D44-54A3D53DF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workbookViewId="0"/>
  </sheetViews>
  <sheetFormatPr defaultRowHeight="16.5" x14ac:dyDescent="0.3"/>
  <cols>
    <col min="1" max="1" width="15.875" bestFit="1" customWidth="1"/>
    <col min="2" max="2" width="13" bestFit="1" customWidth="1"/>
    <col min="3" max="3" width="15.875" bestFit="1" customWidth="1"/>
    <col min="4" max="4" width="13.125" bestFit="1" customWidth="1"/>
  </cols>
  <sheetData>
    <row r="1" spans="1:1" x14ac:dyDescent="0.3">
      <c r="A1" t="s">
        <v>195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G13"/>
  <sheetViews>
    <sheetView zoomScale="115" zoomScaleNormal="115" workbookViewId="0">
      <selection activeCell="J8" sqref="J8"/>
    </sheetView>
  </sheetViews>
  <sheetFormatPr defaultRowHeight="16.5" x14ac:dyDescent="0.3"/>
  <cols>
    <col min="2" max="2" width="15.125" bestFit="1" customWidth="1"/>
  </cols>
  <sheetData>
    <row r="1" spans="1:7" ht="27" customHeight="1" thickBot="1" x14ac:dyDescent="0.35">
      <c r="A1" s="41" t="s">
        <v>129</v>
      </c>
      <c r="B1" s="41"/>
      <c r="C1" s="41"/>
      <c r="D1" s="41"/>
      <c r="E1" s="41"/>
      <c r="F1" s="41"/>
      <c r="G1" s="41"/>
    </row>
    <row r="2" spans="1:7" ht="18" thickTop="1" thickBot="1" x14ac:dyDescent="0.35"/>
    <row r="3" spans="1:7" x14ac:dyDescent="0.3">
      <c r="A3" s="45" t="s">
        <v>138</v>
      </c>
      <c r="B3" s="46" t="s">
        <v>130</v>
      </c>
      <c r="C3" s="46" t="s">
        <v>196</v>
      </c>
      <c r="D3" s="46" t="s">
        <v>133</v>
      </c>
      <c r="E3" s="46" t="s">
        <v>139</v>
      </c>
      <c r="F3" s="46" t="s">
        <v>140</v>
      </c>
      <c r="G3" s="47" t="s">
        <v>141</v>
      </c>
    </row>
    <row r="4" spans="1:7" x14ac:dyDescent="0.3">
      <c r="A4" s="48" t="s">
        <v>152</v>
      </c>
      <c r="B4" s="42" t="s">
        <v>119</v>
      </c>
      <c r="C4" s="43" t="s">
        <v>131</v>
      </c>
      <c r="D4" s="42">
        <v>120</v>
      </c>
      <c r="E4" s="44" t="s">
        <v>134</v>
      </c>
      <c r="F4" s="42">
        <v>3</v>
      </c>
      <c r="G4" s="49" t="s">
        <v>142</v>
      </c>
    </row>
    <row r="5" spans="1:7" x14ac:dyDescent="0.3">
      <c r="A5" s="48" t="s">
        <v>153</v>
      </c>
      <c r="B5" s="42" t="s">
        <v>120</v>
      </c>
      <c r="C5" s="43"/>
      <c r="D5" s="42">
        <v>70</v>
      </c>
      <c r="E5" s="44" t="s">
        <v>135</v>
      </c>
      <c r="F5" s="42">
        <v>3</v>
      </c>
      <c r="G5" s="49" t="s">
        <v>143</v>
      </c>
    </row>
    <row r="6" spans="1:7" x14ac:dyDescent="0.3">
      <c r="A6" s="48" t="s">
        <v>154</v>
      </c>
      <c r="B6" s="42" t="s">
        <v>121</v>
      </c>
      <c r="C6" s="43"/>
      <c r="D6" s="42">
        <v>90</v>
      </c>
      <c r="E6" s="44" t="s">
        <v>136</v>
      </c>
      <c r="F6" s="42">
        <v>2</v>
      </c>
      <c r="G6" s="49" t="s">
        <v>144</v>
      </c>
    </row>
    <row r="7" spans="1:7" x14ac:dyDescent="0.3">
      <c r="A7" s="48" t="s">
        <v>155</v>
      </c>
      <c r="B7" s="42" t="s">
        <v>126</v>
      </c>
      <c r="C7" s="43"/>
      <c r="D7" s="42">
        <v>60</v>
      </c>
      <c r="E7" s="44" t="s">
        <v>137</v>
      </c>
      <c r="F7" s="42">
        <v>2</v>
      </c>
      <c r="G7" s="49" t="s">
        <v>145</v>
      </c>
    </row>
    <row r="8" spans="1:7" x14ac:dyDescent="0.3">
      <c r="A8" s="48" t="s">
        <v>156</v>
      </c>
      <c r="B8" s="42" t="s">
        <v>127</v>
      </c>
      <c r="C8" s="43"/>
      <c r="D8" s="42">
        <v>80</v>
      </c>
      <c r="E8" s="44" t="s">
        <v>135</v>
      </c>
      <c r="F8" s="42">
        <v>3</v>
      </c>
      <c r="G8" s="49" t="s">
        <v>146</v>
      </c>
    </row>
    <row r="9" spans="1:7" x14ac:dyDescent="0.3">
      <c r="A9" s="48" t="s">
        <v>157</v>
      </c>
      <c r="B9" s="42" t="s">
        <v>128</v>
      </c>
      <c r="C9" s="43"/>
      <c r="D9" s="42">
        <v>50</v>
      </c>
      <c r="E9" s="44" t="s">
        <v>136</v>
      </c>
      <c r="F9" s="42">
        <v>3</v>
      </c>
      <c r="G9" s="49" t="s">
        <v>147</v>
      </c>
    </row>
    <row r="10" spans="1:7" x14ac:dyDescent="0.3">
      <c r="A10" s="48" t="s">
        <v>158</v>
      </c>
      <c r="B10" s="42" t="s">
        <v>122</v>
      </c>
      <c r="C10" s="43" t="s">
        <v>132</v>
      </c>
      <c r="D10" s="42">
        <v>95</v>
      </c>
      <c r="E10" s="44" t="s">
        <v>134</v>
      </c>
      <c r="F10" s="42">
        <v>2</v>
      </c>
      <c r="G10" s="49" t="s">
        <v>148</v>
      </c>
    </row>
    <row r="11" spans="1:7" x14ac:dyDescent="0.3">
      <c r="A11" s="48" t="s">
        <v>159</v>
      </c>
      <c r="B11" s="42" t="s">
        <v>123</v>
      </c>
      <c r="C11" s="43"/>
      <c r="D11" s="42">
        <v>85</v>
      </c>
      <c r="E11" s="44" t="s">
        <v>135</v>
      </c>
      <c r="F11" s="42">
        <v>2</v>
      </c>
      <c r="G11" s="49" t="s">
        <v>149</v>
      </c>
    </row>
    <row r="12" spans="1:7" x14ac:dyDescent="0.3">
      <c r="A12" s="48" t="s">
        <v>160</v>
      </c>
      <c r="B12" s="42" t="s">
        <v>124</v>
      </c>
      <c r="C12" s="43"/>
      <c r="D12" s="42">
        <v>75</v>
      </c>
      <c r="E12" s="44" t="s">
        <v>136</v>
      </c>
      <c r="F12" s="42">
        <v>2</v>
      </c>
      <c r="G12" s="49" t="s">
        <v>150</v>
      </c>
    </row>
    <row r="13" spans="1:7" ht="17.25" thickBot="1" x14ac:dyDescent="0.35">
      <c r="A13" s="50" t="s">
        <v>161</v>
      </c>
      <c r="B13" s="51" t="s">
        <v>125</v>
      </c>
      <c r="C13" s="52"/>
      <c r="D13" s="51">
        <v>100</v>
      </c>
      <c r="E13" s="53" t="s">
        <v>137</v>
      </c>
      <c r="F13" s="51">
        <v>3</v>
      </c>
      <c r="G13" s="54" t="s">
        <v>151</v>
      </c>
    </row>
  </sheetData>
  <mergeCells count="2">
    <mergeCell ref="C4:C9"/>
    <mergeCell ref="C10:C13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F11"/>
  <sheetViews>
    <sheetView workbookViewId="0">
      <selection activeCell="I11" sqref="I11"/>
    </sheetView>
  </sheetViews>
  <sheetFormatPr defaultRowHeight="16.5" x14ac:dyDescent="0.3"/>
  <sheetData>
    <row r="1" spans="1:6" x14ac:dyDescent="0.3">
      <c r="A1" t="s">
        <v>0</v>
      </c>
    </row>
    <row r="3" spans="1:6" x14ac:dyDescent="0.3">
      <c r="A3" t="s">
        <v>197</v>
      </c>
      <c r="B3" t="s">
        <v>198</v>
      </c>
      <c r="C3" t="s">
        <v>199</v>
      </c>
      <c r="D3" t="s">
        <v>200</v>
      </c>
      <c r="E3" t="s">
        <v>201</v>
      </c>
      <c r="F3" t="s">
        <v>202</v>
      </c>
    </row>
    <row r="4" spans="1:6" x14ac:dyDescent="0.3">
      <c r="A4" t="s">
        <v>203</v>
      </c>
      <c r="B4" t="s">
        <v>204</v>
      </c>
      <c r="C4" t="s">
        <v>205</v>
      </c>
      <c r="D4" t="s">
        <v>206</v>
      </c>
      <c r="E4" t="s">
        <v>207</v>
      </c>
      <c r="F4">
        <v>110000</v>
      </c>
    </row>
    <row r="5" spans="1:6" x14ac:dyDescent="0.3">
      <c r="A5" t="s">
        <v>208</v>
      </c>
      <c r="B5" t="s">
        <v>209</v>
      </c>
      <c r="C5" t="s">
        <v>210</v>
      </c>
      <c r="D5" t="s">
        <v>211</v>
      </c>
      <c r="E5" t="s">
        <v>212</v>
      </c>
      <c r="F5">
        <v>55000</v>
      </c>
    </row>
    <row r="6" spans="1:6" x14ac:dyDescent="0.3">
      <c r="A6" t="s">
        <v>213</v>
      </c>
      <c r="B6" t="s">
        <v>214</v>
      </c>
      <c r="C6" t="s">
        <v>205</v>
      </c>
      <c r="D6" t="s">
        <v>215</v>
      </c>
      <c r="E6" t="s">
        <v>216</v>
      </c>
      <c r="F6">
        <v>70000</v>
      </c>
    </row>
    <row r="7" spans="1:6" x14ac:dyDescent="0.3">
      <c r="A7" t="s">
        <v>217</v>
      </c>
      <c r="B7" t="s">
        <v>218</v>
      </c>
      <c r="C7" t="s">
        <v>210</v>
      </c>
      <c r="D7" t="s">
        <v>211</v>
      </c>
      <c r="E7" t="s">
        <v>219</v>
      </c>
      <c r="F7">
        <v>55000</v>
      </c>
    </row>
    <row r="8" spans="1:6" x14ac:dyDescent="0.3">
      <c r="A8" t="s">
        <v>220</v>
      </c>
      <c r="B8" t="s">
        <v>221</v>
      </c>
      <c r="C8" t="s">
        <v>205</v>
      </c>
      <c r="D8" t="s">
        <v>206</v>
      </c>
      <c r="E8" t="s">
        <v>222</v>
      </c>
      <c r="F8">
        <v>115000</v>
      </c>
    </row>
    <row r="9" spans="1:6" x14ac:dyDescent="0.3">
      <c r="A9" t="s">
        <v>223</v>
      </c>
      <c r="B9" t="s">
        <v>224</v>
      </c>
      <c r="C9" t="s">
        <v>210</v>
      </c>
      <c r="D9" t="s">
        <v>215</v>
      </c>
      <c r="E9" t="s">
        <v>225</v>
      </c>
      <c r="F9">
        <v>75000</v>
      </c>
    </row>
    <row r="10" spans="1:6" x14ac:dyDescent="0.3">
      <c r="A10" t="s">
        <v>226</v>
      </c>
      <c r="B10" t="s">
        <v>227</v>
      </c>
      <c r="C10" t="s">
        <v>205</v>
      </c>
      <c r="D10" t="s">
        <v>228</v>
      </c>
      <c r="E10" t="s">
        <v>229</v>
      </c>
      <c r="F10">
        <v>80000</v>
      </c>
    </row>
    <row r="11" spans="1:6" x14ac:dyDescent="0.3">
      <c r="A11" t="s">
        <v>230</v>
      </c>
      <c r="B11" t="s">
        <v>231</v>
      </c>
      <c r="C11" t="s">
        <v>210</v>
      </c>
      <c r="D11" t="s">
        <v>228</v>
      </c>
      <c r="E11" t="s">
        <v>232</v>
      </c>
      <c r="F11">
        <v>81000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K34"/>
  <sheetViews>
    <sheetView topLeftCell="A22" zoomScale="130" zoomScaleNormal="130" workbookViewId="0">
      <selection activeCell="D27" sqref="D27:D33"/>
    </sheetView>
  </sheetViews>
  <sheetFormatPr defaultRowHeight="16.5" x14ac:dyDescent="0.3"/>
  <cols>
    <col min="7" max="7" width="11.125" bestFit="1" customWidth="1"/>
    <col min="9" max="9" width="11.875" bestFit="1" customWidth="1"/>
  </cols>
  <sheetData>
    <row r="1" spans="1:11" x14ac:dyDescent="0.3">
      <c r="A1" t="s">
        <v>1</v>
      </c>
      <c r="F1" s="18" t="s">
        <v>72</v>
      </c>
      <c r="G1" s="18"/>
      <c r="H1" s="17"/>
      <c r="I1" s="17"/>
    </row>
    <row r="2" spans="1:11" x14ac:dyDescent="0.3">
      <c r="A2" s="1" t="s">
        <v>164</v>
      </c>
      <c r="B2" s="1" t="s">
        <v>2</v>
      </c>
      <c r="C2" s="1" t="s">
        <v>162</v>
      </c>
      <c r="D2" s="32" t="s">
        <v>163</v>
      </c>
      <c r="F2" s="1" t="s">
        <v>42</v>
      </c>
      <c r="G2" s="1" t="s">
        <v>60</v>
      </c>
      <c r="H2" s="1" t="s">
        <v>61</v>
      </c>
      <c r="I2" s="1" t="s">
        <v>62</v>
      </c>
    </row>
    <row r="3" spans="1:11" x14ac:dyDescent="0.3">
      <c r="A3" s="1" t="s">
        <v>165</v>
      </c>
      <c r="B3" s="30">
        <v>0.4236111111111111</v>
      </c>
      <c r="C3" s="30">
        <v>0.52777777777777779</v>
      </c>
      <c r="D3" s="1" t="str">
        <f>IF(MINUTE(C3-B3)&gt;30,HOUR(C3-B3)+1,HOUR(C3-B3))&amp;"시간"</f>
        <v>2시간</v>
      </c>
      <c r="F3" s="1" t="s">
        <v>63</v>
      </c>
      <c r="G3" s="1" t="s">
        <v>64</v>
      </c>
      <c r="H3" s="2">
        <v>125</v>
      </c>
      <c r="I3" s="2">
        <v>32565411</v>
      </c>
    </row>
    <row r="4" spans="1:11" x14ac:dyDescent="0.3">
      <c r="A4" s="1" t="s">
        <v>166</v>
      </c>
      <c r="B4" s="30">
        <v>0.54166666666666663</v>
      </c>
      <c r="C4" s="30">
        <v>0.70138888888888884</v>
      </c>
      <c r="D4" s="1" t="str">
        <f t="shared" ref="D4:D10" si="0">IF(MINUTE(C4-B4)&gt;30,HOUR(C4-B4)+1,HOUR(C4-B4))&amp;"시간"</f>
        <v>4시간</v>
      </c>
      <c r="F4" s="1" t="s">
        <v>65</v>
      </c>
      <c r="G4" s="1" t="s">
        <v>66</v>
      </c>
      <c r="H4" s="2">
        <v>172</v>
      </c>
      <c r="I4" s="2">
        <v>49545125</v>
      </c>
    </row>
    <row r="5" spans="1:11" x14ac:dyDescent="0.3">
      <c r="A5" s="1" t="s">
        <v>167</v>
      </c>
      <c r="B5" s="30">
        <v>0.47222222222222227</v>
      </c>
      <c r="C5" s="30">
        <v>0.50694444444444442</v>
      </c>
      <c r="D5" s="1" t="str">
        <f t="shared" si="0"/>
        <v>1시간</v>
      </c>
      <c r="F5" s="1" t="s">
        <v>67</v>
      </c>
      <c r="G5" s="1" t="s">
        <v>53</v>
      </c>
      <c r="H5" s="2">
        <v>132</v>
      </c>
      <c r="I5" s="2">
        <v>39887110</v>
      </c>
    </row>
    <row r="6" spans="1:11" x14ac:dyDescent="0.3">
      <c r="A6" s="1" t="s">
        <v>168</v>
      </c>
      <c r="B6" s="30">
        <v>0.50694444444444442</v>
      </c>
      <c r="C6" s="30">
        <v>0.64583333333333337</v>
      </c>
      <c r="D6" s="1" t="str">
        <f t="shared" si="0"/>
        <v>3시간</v>
      </c>
      <c r="F6" s="1" t="s">
        <v>68</v>
      </c>
      <c r="G6" s="1" t="s">
        <v>64</v>
      </c>
      <c r="H6" s="2">
        <v>127</v>
      </c>
      <c r="I6" s="2">
        <v>20100095</v>
      </c>
    </row>
    <row r="7" spans="1:11" x14ac:dyDescent="0.3">
      <c r="A7" s="1" t="s">
        <v>169</v>
      </c>
      <c r="B7" s="30">
        <v>0.59722222222222221</v>
      </c>
      <c r="C7" s="30">
        <v>0.68055555555555547</v>
      </c>
      <c r="D7" s="1" t="str">
        <f t="shared" si="0"/>
        <v>2시간</v>
      </c>
      <c r="F7" s="1" t="s">
        <v>69</v>
      </c>
      <c r="G7" s="1" t="s">
        <v>53</v>
      </c>
      <c r="H7" s="2">
        <v>211</v>
      </c>
      <c r="I7" s="2">
        <v>57998011</v>
      </c>
      <c r="K7" t="s">
        <v>73</v>
      </c>
    </row>
    <row r="8" spans="1:11" x14ac:dyDescent="0.3">
      <c r="A8" s="1" t="s">
        <v>170</v>
      </c>
      <c r="B8" s="30">
        <v>0.65972222222222221</v>
      </c>
      <c r="C8" s="30">
        <v>0.73611111111111116</v>
      </c>
      <c r="D8" s="1" t="str">
        <f t="shared" si="0"/>
        <v>2시간</v>
      </c>
      <c r="F8" s="1" t="s">
        <v>70</v>
      </c>
      <c r="G8" s="1" t="s">
        <v>64</v>
      </c>
      <c r="H8" s="2">
        <v>101</v>
      </c>
      <c r="I8" s="2">
        <v>19885445</v>
      </c>
      <c r="K8" s="1" t="s">
        <v>60</v>
      </c>
    </row>
    <row r="9" spans="1:11" x14ac:dyDescent="0.3">
      <c r="A9" s="1" t="s">
        <v>171</v>
      </c>
      <c r="B9" s="30">
        <v>0.68055555555555547</v>
      </c>
      <c r="C9" s="30">
        <v>0.79166666666666663</v>
      </c>
      <c r="D9" s="1" t="str">
        <f t="shared" si="0"/>
        <v>3시간</v>
      </c>
      <c r="F9" s="1" t="s">
        <v>71</v>
      </c>
      <c r="G9" s="1" t="s">
        <v>66</v>
      </c>
      <c r="H9" s="2">
        <v>97</v>
      </c>
      <c r="I9" s="2">
        <v>35225440</v>
      </c>
      <c r="K9" s="1" t="s">
        <v>66</v>
      </c>
    </row>
    <row r="10" spans="1:11" x14ac:dyDescent="0.3">
      <c r="A10" s="1" t="s">
        <v>172</v>
      </c>
      <c r="B10" s="30">
        <v>0.3888888888888889</v>
      </c>
      <c r="C10" s="30">
        <v>0.57638888888888895</v>
      </c>
      <c r="D10" s="1" t="str">
        <f t="shared" si="0"/>
        <v>4시간</v>
      </c>
      <c r="F10" s="36" t="s">
        <v>74</v>
      </c>
      <c r="G10" s="36"/>
      <c r="H10" s="2">
        <f>ROUNDDOWN(DAVERAGE($F$2:$I$9,H2,$K$8:$K$9),-1)</f>
        <v>130</v>
      </c>
      <c r="I10" s="2">
        <f>ROUNDDOWN(DAVERAGE($F$2:$I$9,I2,$K$8:$K$9),-1)</f>
        <v>42385280</v>
      </c>
    </row>
    <row r="12" spans="1:11" x14ac:dyDescent="0.3">
      <c r="A12" t="s">
        <v>75</v>
      </c>
      <c r="F12" s="29" t="s">
        <v>110</v>
      </c>
      <c r="H12" t="s">
        <v>184</v>
      </c>
      <c r="I12" s="35">
        <v>45940</v>
      </c>
    </row>
    <row r="13" spans="1:11" x14ac:dyDescent="0.3">
      <c r="A13" s="26" t="s">
        <v>78</v>
      </c>
      <c r="B13" s="27" t="s">
        <v>83</v>
      </c>
      <c r="C13" s="26" t="s">
        <v>77</v>
      </c>
      <c r="D13" s="26" t="s">
        <v>76</v>
      </c>
      <c r="F13" s="1" t="s">
        <v>183</v>
      </c>
      <c r="G13" s="1" t="s">
        <v>175</v>
      </c>
      <c r="H13" s="1" t="s">
        <v>176</v>
      </c>
      <c r="I13" s="32" t="s">
        <v>185</v>
      </c>
    </row>
    <row r="14" spans="1:11" x14ac:dyDescent="0.3">
      <c r="A14" s="26" t="s">
        <v>71</v>
      </c>
      <c r="B14" s="27">
        <v>80</v>
      </c>
      <c r="C14" s="27">
        <v>80</v>
      </c>
      <c r="D14" s="27">
        <v>80</v>
      </c>
      <c r="F14" s="1" t="s">
        <v>186</v>
      </c>
      <c r="G14" s="34">
        <v>41548</v>
      </c>
      <c r="H14" s="1" t="s">
        <v>132</v>
      </c>
      <c r="I14" s="1">
        <f>(YEAR($I$12)-YEAR(G14))*3+IF(H14="서울",5,7)</f>
        <v>41</v>
      </c>
    </row>
    <row r="15" spans="1:11" x14ac:dyDescent="0.3">
      <c r="A15" s="26" t="s">
        <v>70</v>
      </c>
      <c r="B15" s="27">
        <v>70</v>
      </c>
      <c r="C15" s="27">
        <v>55</v>
      </c>
      <c r="D15" s="27">
        <v>85</v>
      </c>
      <c r="F15" s="1" t="s">
        <v>187</v>
      </c>
      <c r="G15" s="34">
        <v>41953</v>
      </c>
      <c r="H15" s="1" t="s">
        <v>177</v>
      </c>
      <c r="I15" s="1">
        <f t="shared" ref="I15:I22" si="1">(YEAR($I$12)-YEAR(G15))*3+IF(H15="서울",5,7)</f>
        <v>40</v>
      </c>
    </row>
    <row r="16" spans="1:11" x14ac:dyDescent="0.3">
      <c r="A16" s="26" t="s">
        <v>79</v>
      </c>
      <c r="B16" s="27">
        <v>85</v>
      </c>
      <c r="C16" s="27">
        <v>60</v>
      </c>
      <c r="D16" s="27">
        <v>55</v>
      </c>
      <c r="F16" s="1" t="s">
        <v>188</v>
      </c>
      <c r="G16" s="34">
        <v>41157</v>
      </c>
      <c r="H16" s="1" t="s">
        <v>178</v>
      </c>
      <c r="I16" s="1">
        <f t="shared" si="1"/>
        <v>46</v>
      </c>
    </row>
    <row r="17" spans="1:9" x14ac:dyDescent="0.3">
      <c r="A17" s="26" t="s">
        <v>80</v>
      </c>
      <c r="B17" s="27">
        <v>95</v>
      </c>
      <c r="C17" s="27">
        <v>75</v>
      </c>
      <c r="D17" s="27">
        <v>90</v>
      </c>
      <c r="F17" s="1" t="s">
        <v>189</v>
      </c>
      <c r="G17" s="34">
        <v>42131</v>
      </c>
      <c r="H17" s="1" t="s">
        <v>132</v>
      </c>
      <c r="I17" s="1">
        <f t="shared" si="1"/>
        <v>35</v>
      </c>
    </row>
    <row r="18" spans="1:9" x14ac:dyDescent="0.3">
      <c r="A18" s="26" t="s">
        <v>81</v>
      </c>
      <c r="B18" s="27">
        <v>65</v>
      </c>
      <c r="C18" s="27">
        <v>85</v>
      </c>
      <c r="D18" s="27">
        <v>50</v>
      </c>
      <c r="F18" s="1" t="s">
        <v>190</v>
      </c>
      <c r="G18" s="34">
        <v>42828</v>
      </c>
      <c r="H18" s="1" t="s">
        <v>179</v>
      </c>
      <c r="I18" s="1">
        <f t="shared" si="1"/>
        <v>31</v>
      </c>
    </row>
    <row r="19" spans="1:9" x14ac:dyDescent="0.3">
      <c r="A19" s="26" t="s">
        <v>54</v>
      </c>
      <c r="B19" s="27">
        <v>100</v>
      </c>
      <c r="C19" s="27">
        <v>50</v>
      </c>
      <c r="D19" s="27">
        <v>95</v>
      </c>
      <c r="F19" s="1" t="s">
        <v>191</v>
      </c>
      <c r="G19" s="34">
        <v>43623</v>
      </c>
      <c r="H19" s="1" t="s">
        <v>180</v>
      </c>
      <c r="I19" s="1">
        <f t="shared" si="1"/>
        <v>25</v>
      </c>
    </row>
    <row r="20" spans="1:9" x14ac:dyDescent="0.3">
      <c r="A20" s="26" t="s">
        <v>82</v>
      </c>
      <c r="B20" s="27">
        <v>90</v>
      </c>
      <c r="C20" s="27">
        <v>45</v>
      </c>
      <c r="D20" s="27">
        <v>100</v>
      </c>
      <c r="F20" s="1" t="s">
        <v>192</v>
      </c>
      <c r="G20" s="34">
        <v>43284</v>
      </c>
      <c r="H20" s="1" t="s">
        <v>181</v>
      </c>
      <c r="I20" s="1">
        <f t="shared" si="1"/>
        <v>28</v>
      </c>
    </row>
    <row r="21" spans="1:9" x14ac:dyDescent="0.3">
      <c r="A21" s="26" t="s">
        <v>50</v>
      </c>
      <c r="B21" s="27">
        <v>75</v>
      </c>
      <c r="C21" s="27">
        <v>40</v>
      </c>
      <c r="D21" s="27">
        <v>75</v>
      </c>
      <c r="F21" s="1" t="s">
        <v>193</v>
      </c>
      <c r="G21" s="34">
        <v>40889</v>
      </c>
      <c r="H21" s="1" t="s">
        <v>132</v>
      </c>
      <c r="I21" s="1">
        <f t="shared" si="1"/>
        <v>47</v>
      </c>
    </row>
    <row r="22" spans="1:9" x14ac:dyDescent="0.3">
      <c r="A22" s="19"/>
      <c r="B22" s="19"/>
      <c r="C22" s="19"/>
      <c r="D22" s="19"/>
      <c r="F22" s="1" t="s">
        <v>194</v>
      </c>
      <c r="G22" s="34">
        <v>43846</v>
      </c>
      <c r="H22" s="1" t="s">
        <v>182</v>
      </c>
      <c r="I22" s="1">
        <f t="shared" si="1"/>
        <v>22</v>
      </c>
    </row>
    <row r="23" spans="1:9" x14ac:dyDescent="0.3">
      <c r="A23" s="37" t="s">
        <v>84</v>
      </c>
      <c r="B23" s="37"/>
      <c r="C23" s="37"/>
      <c r="D23" s="28">
        <f>COUNTIFS(C14:C21,"&gt;=60",D14:D21,"&gt;=60")/COUNTA(A14:A21)</f>
        <v>0.25</v>
      </c>
    </row>
    <row r="25" spans="1:9" x14ac:dyDescent="0.3">
      <c r="A25" s="25" t="s">
        <v>94</v>
      </c>
      <c r="B25" s="24"/>
      <c r="C25" s="24"/>
      <c r="D25" s="24"/>
      <c r="E25" s="24"/>
      <c r="F25" s="24"/>
      <c r="G25" s="24"/>
      <c r="H25" s="24"/>
    </row>
    <row r="26" spans="1:9" x14ac:dyDescent="0.3">
      <c r="A26" s="20" t="s">
        <v>100</v>
      </c>
      <c r="B26" s="20" t="s">
        <v>42</v>
      </c>
      <c r="C26" s="20" t="s">
        <v>86</v>
      </c>
      <c r="D26" s="33" t="s">
        <v>85</v>
      </c>
      <c r="E26" s="24"/>
      <c r="F26" s="31" t="s">
        <v>173</v>
      </c>
      <c r="H26" s="24"/>
    </row>
    <row r="27" spans="1:9" x14ac:dyDescent="0.3">
      <c r="A27" s="22" t="s">
        <v>103</v>
      </c>
      <c r="B27" s="23" t="s">
        <v>87</v>
      </c>
      <c r="C27" s="22">
        <v>465</v>
      </c>
      <c r="D27" s="20" t="str">
        <f>IFERROR(VLOOKUP(LEFT(A27,2),$F$28:$G$30,2,0),"코드오류")</f>
        <v>디자인</v>
      </c>
      <c r="E27" s="24"/>
      <c r="F27" s="21" t="s">
        <v>95</v>
      </c>
      <c r="G27" s="21" t="s">
        <v>96</v>
      </c>
      <c r="H27" s="24"/>
    </row>
    <row r="28" spans="1:9" x14ac:dyDescent="0.3">
      <c r="A28" s="22" t="s">
        <v>174</v>
      </c>
      <c r="B28" s="23" t="s">
        <v>88</v>
      </c>
      <c r="C28" s="22">
        <v>604</v>
      </c>
      <c r="D28" s="20" t="str">
        <f t="shared" ref="D28:D33" si="2">IFERROR(VLOOKUP(LEFT(A28,2),$F$28:$G$30,2,0),"코드오류")</f>
        <v>코드오류</v>
      </c>
      <c r="E28" s="24"/>
      <c r="F28" s="20" t="s">
        <v>101</v>
      </c>
      <c r="G28" s="20" t="s">
        <v>97</v>
      </c>
      <c r="H28" s="24"/>
    </row>
    <row r="29" spans="1:9" x14ac:dyDescent="0.3">
      <c r="A29" s="22" t="s">
        <v>105</v>
      </c>
      <c r="B29" s="23" t="s">
        <v>89</v>
      </c>
      <c r="C29" s="22">
        <v>383</v>
      </c>
      <c r="D29" s="20" t="str">
        <f t="shared" si="2"/>
        <v>컴퓨터</v>
      </c>
      <c r="E29" s="24"/>
      <c r="F29" s="20" t="s">
        <v>104</v>
      </c>
      <c r="G29" s="20" t="s">
        <v>98</v>
      </c>
      <c r="H29" s="24"/>
    </row>
    <row r="30" spans="1:9" x14ac:dyDescent="0.3">
      <c r="A30" s="22" t="s">
        <v>106</v>
      </c>
      <c r="B30" s="23" t="s">
        <v>90</v>
      </c>
      <c r="C30" s="22">
        <v>465</v>
      </c>
      <c r="D30" s="20" t="str">
        <f t="shared" si="2"/>
        <v>디자인</v>
      </c>
      <c r="E30" s="24"/>
      <c r="F30" s="20" t="s">
        <v>102</v>
      </c>
      <c r="G30" s="20" t="s">
        <v>99</v>
      </c>
      <c r="H30" s="24"/>
    </row>
    <row r="31" spans="1:9" x14ac:dyDescent="0.3">
      <c r="A31" s="22" t="s">
        <v>107</v>
      </c>
      <c r="B31" s="23" t="s">
        <v>91</v>
      </c>
      <c r="C31" s="22">
        <v>382</v>
      </c>
      <c r="D31" s="20" t="str">
        <f t="shared" si="2"/>
        <v>미디어</v>
      </c>
      <c r="E31" s="24"/>
      <c r="F31" s="24"/>
      <c r="G31" s="24"/>
      <c r="H31" s="24"/>
    </row>
    <row r="32" spans="1:9" x14ac:dyDescent="0.3">
      <c r="A32" s="22" t="s">
        <v>108</v>
      </c>
      <c r="B32" s="23" t="s">
        <v>92</v>
      </c>
      <c r="C32" s="22">
        <v>391</v>
      </c>
      <c r="D32" s="20" t="str">
        <f t="shared" si="2"/>
        <v>컴퓨터</v>
      </c>
      <c r="E32" s="24"/>
      <c r="F32" s="24"/>
      <c r="G32" s="24"/>
      <c r="H32" s="24"/>
    </row>
    <row r="33" spans="1:8" x14ac:dyDescent="0.3">
      <c r="A33" s="22" t="s">
        <v>109</v>
      </c>
      <c r="B33" s="23" t="s">
        <v>93</v>
      </c>
      <c r="C33" s="22">
        <v>572</v>
      </c>
      <c r="D33" s="20" t="str">
        <f t="shared" si="2"/>
        <v>디자인</v>
      </c>
      <c r="E33" s="24"/>
      <c r="F33" s="24"/>
      <c r="G33" s="24"/>
      <c r="H33" s="24"/>
    </row>
    <row r="34" spans="1:8" x14ac:dyDescent="0.3">
      <c r="A34" s="24"/>
      <c r="B34" s="24"/>
      <c r="C34" s="24"/>
      <c r="D34" s="24"/>
      <c r="E34" s="24"/>
      <c r="F34" s="24"/>
      <c r="G34" s="24"/>
      <c r="H34" s="24"/>
    </row>
  </sheetData>
  <mergeCells count="2">
    <mergeCell ref="F10:G10"/>
    <mergeCell ref="A23:C23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F15"/>
  <sheetViews>
    <sheetView zoomScale="130" zoomScaleNormal="130" workbookViewId="0">
      <selection activeCell="I6" sqref="I6"/>
    </sheetView>
  </sheetViews>
  <sheetFormatPr defaultRowHeight="16.5" x14ac:dyDescent="0.3"/>
  <cols>
    <col min="3" max="3" width="10.875" bestFit="1" customWidth="1"/>
    <col min="5" max="5" width="11.875" bestFit="1" customWidth="1"/>
    <col min="6" max="6" width="10.875" bestFit="1" customWidth="1"/>
  </cols>
  <sheetData>
    <row r="1" spans="1:6" ht="20.25" x14ac:dyDescent="0.3">
      <c r="A1" s="38" t="s">
        <v>3</v>
      </c>
      <c r="B1" s="38"/>
      <c r="C1" s="38"/>
      <c r="D1" s="38"/>
      <c r="E1" s="38"/>
      <c r="F1" s="38"/>
    </row>
    <row r="3" spans="1:6" x14ac:dyDescent="0.3">
      <c r="A3" s="1" t="s">
        <v>4</v>
      </c>
      <c r="B3" s="1" t="s">
        <v>5</v>
      </c>
      <c r="C3" s="1" t="s">
        <v>6</v>
      </c>
      <c r="D3" s="1" t="s">
        <v>7</v>
      </c>
      <c r="E3" s="1" t="s">
        <v>8</v>
      </c>
      <c r="F3" s="1" t="s">
        <v>9</v>
      </c>
    </row>
    <row r="4" spans="1:6" x14ac:dyDescent="0.3">
      <c r="A4" s="1" t="s">
        <v>10</v>
      </c>
      <c r="B4" s="1" t="s">
        <v>11</v>
      </c>
      <c r="C4" s="2">
        <v>920000</v>
      </c>
      <c r="D4" s="1">
        <v>18</v>
      </c>
      <c r="E4" s="2">
        <f>C4*D4</f>
        <v>16560000</v>
      </c>
      <c r="F4" s="3">
        <f>E4*30%</f>
        <v>4968000</v>
      </c>
    </row>
    <row r="5" spans="1:6" x14ac:dyDescent="0.3">
      <c r="A5" s="1" t="s">
        <v>16</v>
      </c>
      <c r="B5" s="1" t="s">
        <v>17</v>
      </c>
      <c r="C5" s="2">
        <v>1260000</v>
      </c>
      <c r="D5" s="1">
        <v>7</v>
      </c>
      <c r="E5" s="2">
        <f>C5*D5</f>
        <v>8820000</v>
      </c>
      <c r="F5" s="3">
        <f>E5*30%</f>
        <v>2646000</v>
      </c>
    </row>
    <row r="6" spans="1:6" x14ac:dyDescent="0.3">
      <c r="A6" s="1" t="s">
        <v>14</v>
      </c>
      <c r="B6" s="1" t="s">
        <v>11</v>
      </c>
      <c r="C6" s="2">
        <v>1020000</v>
      </c>
      <c r="D6" s="1">
        <v>19</v>
      </c>
      <c r="E6" s="2">
        <f>C6*D6</f>
        <v>19380000</v>
      </c>
      <c r="F6" s="2">
        <f>E6*30%</f>
        <v>5814000</v>
      </c>
    </row>
    <row r="7" spans="1:6" x14ac:dyDescent="0.3">
      <c r="A7" s="1" t="s">
        <v>15</v>
      </c>
      <c r="B7" s="1" t="s">
        <v>11</v>
      </c>
      <c r="C7" s="2">
        <v>1070000</v>
      </c>
      <c r="D7" s="1">
        <v>23</v>
      </c>
      <c r="E7" s="2">
        <f>C7*D7</f>
        <v>24610000</v>
      </c>
      <c r="F7" s="2">
        <f>E7*30%</f>
        <v>7383000</v>
      </c>
    </row>
    <row r="8" spans="1:6" x14ac:dyDescent="0.3">
      <c r="A8" s="1" t="s">
        <v>14</v>
      </c>
      <c r="B8" s="1" t="s">
        <v>18</v>
      </c>
      <c r="C8" s="2">
        <v>1560000</v>
      </c>
      <c r="D8" s="1">
        <v>9</v>
      </c>
      <c r="E8" s="2">
        <f>C8*D8</f>
        <v>14040000</v>
      </c>
      <c r="F8" s="3">
        <f>E8*30%</f>
        <v>4212000</v>
      </c>
    </row>
    <row r="9" spans="1:6" x14ac:dyDescent="0.3">
      <c r="A9" s="1" t="s">
        <v>15</v>
      </c>
      <c r="B9" s="1" t="s">
        <v>12</v>
      </c>
      <c r="C9" s="2">
        <v>1460000</v>
      </c>
      <c r="D9" s="1">
        <v>11</v>
      </c>
      <c r="E9" s="2">
        <f>C9*D9</f>
        <v>16060000</v>
      </c>
      <c r="F9" s="3">
        <f>E9*30%</f>
        <v>4818000</v>
      </c>
    </row>
    <row r="10" spans="1:6" x14ac:dyDescent="0.3">
      <c r="A10" s="1" t="s">
        <v>10</v>
      </c>
      <c r="B10" s="1" t="s">
        <v>12</v>
      </c>
      <c r="C10" s="2">
        <v>1850000</v>
      </c>
      <c r="D10" s="1">
        <v>13</v>
      </c>
      <c r="E10" s="2">
        <f>C10*D10</f>
        <v>24050000</v>
      </c>
      <c r="F10" s="2">
        <f>E10*30%</f>
        <v>7215000</v>
      </c>
    </row>
    <row r="11" spans="1:6" x14ac:dyDescent="0.3">
      <c r="A11" s="1" t="s">
        <v>16</v>
      </c>
      <c r="B11" s="1" t="s">
        <v>12</v>
      </c>
      <c r="C11" s="2">
        <v>1120000</v>
      </c>
      <c r="D11" s="1">
        <v>22</v>
      </c>
      <c r="E11" s="2">
        <f>C11*D11</f>
        <v>24640000</v>
      </c>
      <c r="F11" s="2">
        <f>E11*30%</f>
        <v>7392000</v>
      </c>
    </row>
    <row r="12" spans="1:6" x14ac:dyDescent="0.3">
      <c r="A12" s="1" t="s">
        <v>10</v>
      </c>
      <c r="B12" s="1" t="s">
        <v>13</v>
      </c>
      <c r="C12" s="2">
        <v>1220000</v>
      </c>
      <c r="D12" s="1">
        <v>20</v>
      </c>
      <c r="E12" s="2">
        <f>C12*D12</f>
        <v>24400000</v>
      </c>
      <c r="F12" s="2">
        <f>E12*30%</f>
        <v>7320000</v>
      </c>
    </row>
    <row r="13" spans="1:6" x14ac:dyDescent="0.3">
      <c r="A13" s="1" t="s">
        <v>14</v>
      </c>
      <c r="B13" s="1" t="s">
        <v>13</v>
      </c>
      <c r="C13" s="2">
        <v>1180000</v>
      </c>
      <c r="D13" s="1">
        <v>25</v>
      </c>
      <c r="E13" s="2">
        <f>C13*D13</f>
        <v>29500000</v>
      </c>
      <c r="F13" s="2">
        <f>E13*30%</f>
        <v>8850000</v>
      </c>
    </row>
    <row r="14" spans="1:6" x14ac:dyDescent="0.3">
      <c r="A14" s="1" t="s">
        <v>15</v>
      </c>
      <c r="B14" s="1" t="s">
        <v>13</v>
      </c>
      <c r="C14" s="2">
        <v>1420000</v>
      </c>
      <c r="D14" s="1">
        <v>21</v>
      </c>
      <c r="E14" s="2">
        <f>C14*D14</f>
        <v>29820000</v>
      </c>
      <c r="F14" s="2">
        <f>E14*30%</f>
        <v>8946000</v>
      </c>
    </row>
    <row r="15" spans="1:6" x14ac:dyDescent="0.3">
      <c r="A15" s="1" t="s">
        <v>16</v>
      </c>
      <c r="B15" s="1" t="s">
        <v>13</v>
      </c>
      <c r="C15" s="2">
        <v>1250000</v>
      </c>
      <c r="D15" s="1">
        <v>17</v>
      </c>
      <c r="E15" s="2">
        <f>C15*D15</f>
        <v>21250000</v>
      </c>
      <c r="F15" s="2">
        <f>E15*30%</f>
        <v>6375000</v>
      </c>
    </row>
  </sheetData>
  <sortState xmlns:xlrd2="http://schemas.microsoft.com/office/spreadsheetml/2017/richdata2" ref="A4:F15">
    <sortCondition ref="B4:B15" customList="노트북,TV,컴퓨터"/>
    <sortCondition sortBy="fontColor" ref="F4:F15" dxfId="0"/>
  </sortState>
  <mergeCells count="1">
    <mergeCell ref="A1:F1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248D-C66D-4390-9449-6C017C80E8B6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13" bestFit="1" customWidth="1"/>
    <col min="4" max="6" width="11.875" bestFit="1" customWidth="1" outlineLevel="1"/>
  </cols>
  <sheetData>
    <row r="1" spans="2:6" ht="17.25" thickBot="1" x14ac:dyDescent="0.35"/>
    <row r="2" spans="2:6" x14ac:dyDescent="0.3">
      <c r="B2" s="59" t="s">
        <v>239</v>
      </c>
      <c r="C2" s="60"/>
      <c r="D2" s="66"/>
      <c r="E2" s="66"/>
      <c r="F2" s="66"/>
    </row>
    <row r="3" spans="2:6" collapsed="1" x14ac:dyDescent="0.3">
      <c r="B3" s="58"/>
      <c r="C3" s="58"/>
      <c r="D3" s="67" t="s">
        <v>241</v>
      </c>
      <c r="E3" s="67" t="s">
        <v>236</v>
      </c>
      <c r="F3" s="67" t="s">
        <v>238</v>
      </c>
    </row>
    <row r="4" spans="2:6" ht="40.5" hidden="1" outlineLevel="1" x14ac:dyDescent="0.3">
      <c r="B4" s="62"/>
      <c r="C4" s="62"/>
      <c r="D4" s="55"/>
      <c r="E4" s="69" t="s">
        <v>237</v>
      </c>
      <c r="F4" s="69" t="s">
        <v>237</v>
      </c>
    </row>
    <row r="5" spans="2:6" x14ac:dyDescent="0.3">
      <c r="B5" s="63" t="s">
        <v>240</v>
      </c>
      <c r="C5" s="64"/>
      <c r="D5" s="61"/>
      <c r="E5" s="61"/>
      <c r="F5" s="61"/>
    </row>
    <row r="6" spans="2:6" outlineLevel="1" x14ac:dyDescent="0.3">
      <c r="B6" s="62"/>
      <c r="C6" s="62" t="s">
        <v>233</v>
      </c>
      <c r="D6" s="56">
        <v>0.12</v>
      </c>
      <c r="E6" s="68">
        <v>0.15</v>
      </c>
      <c r="F6" s="68">
        <v>0.1</v>
      </c>
    </row>
    <row r="7" spans="2:6" outlineLevel="1" x14ac:dyDescent="0.3">
      <c r="B7" s="62"/>
      <c r="C7" s="62" t="s">
        <v>234</v>
      </c>
      <c r="D7" s="56">
        <v>0.18</v>
      </c>
      <c r="E7" s="68">
        <v>0.2</v>
      </c>
      <c r="F7" s="68">
        <v>0.15</v>
      </c>
    </row>
    <row r="8" spans="2:6" x14ac:dyDescent="0.3">
      <c r="B8" s="63" t="s">
        <v>242</v>
      </c>
      <c r="C8" s="64"/>
      <c r="D8" s="61"/>
      <c r="E8" s="61"/>
      <c r="F8" s="61"/>
    </row>
    <row r="9" spans="2:6" ht="17.25" outlineLevel="1" thickBot="1" x14ac:dyDescent="0.35">
      <c r="B9" s="65"/>
      <c r="C9" s="65" t="s">
        <v>235</v>
      </c>
      <c r="D9" s="57">
        <v>9633600</v>
      </c>
      <c r="E9" s="57">
        <v>7461000</v>
      </c>
      <c r="F9" s="57">
        <v>11853000</v>
      </c>
    </row>
    <row r="10" spans="2:6" x14ac:dyDescent="0.3">
      <c r="B10" t="s">
        <v>243</v>
      </c>
    </row>
    <row r="11" spans="2:6" x14ac:dyDescent="0.3">
      <c r="B11" t="s">
        <v>244</v>
      </c>
    </row>
    <row r="12" spans="2:6" x14ac:dyDescent="0.3">
      <c r="B12" t="s">
        <v>245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13"/>
  <sheetViews>
    <sheetView workbookViewId="0">
      <selection activeCell="H10" sqref="H10"/>
    </sheetView>
  </sheetViews>
  <sheetFormatPr defaultRowHeight="16.5" x14ac:dyDescent="0.3"/>
  <cols>
    <col min="2" max="2" width="9.375" bestFit="1" customWidth="1"/>
    <col min="4" max="4" width="9.375" bestFit="1" customWidth="1"/>
    <col min="5" max="5" width="9.125" bestFit="1" customWidth="1"/>
    <col min="6" max="6" width="12" bestFit="1" customWidth="1"/>
    <col min="7" max="7" width="11.875" bestFit="1" customWidth="1"/>
    <col min="8" max="8" width="12" bestFit="1" customWidth="1"/>
  </cols>
  <sheetData>
    <row r="1" spans="1:8" ht="26.25" x14ac:dyDescent="0.3">
      <c r="A1" s="39" t="s">
        <v>19</v>
      </c>
      <c r="B1" s="39"/>
      <c r="C1" s="39"/>
      <c r="D1" s="39"/>
      <c r="E1" s="39"/>
      <c r="F1" s="39"/>
      <c r="G1" s="39"/>
      <c r="H1" s="39"/>
    </row>
    <row r="2" spans="1:8" x14ac:dyDescent="0.3">
      <c r="A2" s="4"/>
      <c r="B2" s="4"/>
      <c r="C2" s="4"/>
      <c r="D2" s="4"/>
      <c r="E2" s="4"/>
      <c r="F2" s="4"/>
      <c r="G2" s="4"/>
      <c r="H2" s="4"/>
    </row>
    <row r="3" spans="1:8" x14ac:dyDescent="0.3">
      <c r="A3" s="5" t="s">
        <v>31</v>
      </c>
      <c r="B3" s="5" t="s">
        <v>20</v>
      </c>
      <c r="C3" s="5" t="s">
        <v>5</v>
      </c>
      <c r="D3" s="5" t="s">
        <v>21</v>
      </c>
      <c r="E3" s="5" t="s">
        <v>22</v>
      </c>
      <c r="F3" s="5" t="s">
        <v>23</v>
      </c>
      <c r="G3" s="5" t="s">
        <v>24</v>
      </c>
      <c r="H3" s="5" t="s">
        <v>25</v>
      </c>
    </row>
    <row r="4" spans="1:8" x14ac:dyDescent="0.3">
      <c r="A4" s="1" t="s">
        <v>32</v>
      </c>
      <c r="B4" s="6">
        <v>180000</v>
      </c>
      <c r="C4" s="14" t="s">
        <v>29</v>
      </c>
      <c r="D4" s="6">
        <v>250000</v>
      </c>
      <c r="E4" s="6">
        <v>75</v>
      </c>
      <c r="F4" s="6">
        <f t="shared" ref="F4:F9" si="0">D4*E4</f>
        <v>18750000</v>
      </c>
      <c r="G4" s="6">
        <f>IF(C4="일반",$B$12,$B$13)*F4</f>
        <v>2250000</v>
      </c>
      <c r="H4" s="6">
        <f>F4-B4*E4-G4</f>
        <v>3000000</v>
      </c>
    </row>
    <row r="5" spans="1:8" x14ac:dyDescent="0.3">
      <c r="A5" s="1" t="s">
        <v>33</v>
      </c>
      <c r="B5" s="6">
        <v>270000</v>
      </c>
      <c r="C5" s="14" t="s">
        <v>30</v>
      </c>
      <c r="D5" s="6">
        <v>350000</v>
      </c>
      <c r="E5" s="6">
        <v>76</v>
      </c>
      <c r="F5" s="6">
        <f t="shared" si="0"/>
        <v>26600000</v>
      </c>
      <c r="G5" s="6">
        <f t="shared" ref="G5:G9" si="1">IF(C5="일반",$B$12,$B$13)*F5</f>
        <v>4788000</v>
      </c>
      <c r="H5" s="6">
        <f t="shared" ref="H5:H9" si="2">F5-B5*E5-G5</f>
        <v>1292000</v>
      </c>
    </row>
    <row r="6" spans="1:8" x14ac:dyDescent="0.3">
      <c r="A6" s="1" t="s">
        <v>34</v>
      </c>
      <c r="B6" s="6">
        <v>140000</v>
      </c>
      <c r="C6" s="14" t="s">
        <v>30</v>
      </c>
      <c r="D6" s="6">
        <v>200000</v>
      </c>
      <c r="E6" s="6">
        <v>45</v>
      </c>
      <c r="F6" s="6">
        <f t="shared" si="0"/>
        <v>9000000</v>
      </c>
      <c r="G6" s="6">
        <f t="shared" si="1"/>
        <v>1620000</v>
      </c>
      <c r="H6" s="6">
        <f t="shared" si="2"/>
        <v>1080000</v>
      </c>
    </row>
    <row r="7" spans="1:8" x14ac:dyDescent="0.3">
      <c r="A7" s="1" t="s">
        <v>35</v>
      </c>
      <c r="B7" s="6">
        <v>110000</v>
      </c>
      <c r="C7" s="14" t="s">
        <v>29</v>
      </c>
      <c r="D7" s="6">
        <v>150000</v>
      </c>
      <c r="E7" s="6">
        <v>85</v>
      </c>
      <c r="F7" s="6">
        <f t="shared" si="0"/>
        <v>12750000</v>
      </c>
      <c r="G7" s="6">
        <f t="shared" si="1"/>
        <v>1530000</v>
      </c>
      <c r="H7" s="6">
        <f t="shared" si="2"/>
        <v>1870000</v>
      </c>
    </row>
    <row r="8" spans="1:8" x14ac:dyDescent="0.3">
      <c r="A8" s="1" t="s">
        <v>36</v>
      </c>
      <c r="B8" s="6">
        <v>90000</v>
      </c>
      <c r="C8" s="14" t="s">
        <v>30</v>
      </c>
      <c r="D8" s="6">
        <v>130000</v>
      </c>
      <c r="E8" s="6">
        <v>82</v>
      </c>
      <c r="F8" s="6">
        <f t="shared" si="0"/>
        <v>10660000</v>
      </c>
      <c r="G8" s="6">
        <f t="shared" si="1"/>
        <v>1918800</v>
      </c>
      <c r="H8" s="6">
        <f t="shared" si="2"/>
        <v>1361200</v>
      </c>
    </row>
    <row r="9" spans="1:8" x14ac:dyDescent="0.3">
      <c r="A9" s="1" t="s">
        <v>37</v>
      </c>
      <c r="B9" s="7">
        <v>140000</v>
      </c>
      <c r="C9" s="15" t="s">
        <v>29</v>
      </c>
      <c r="D9" s="6">
        <v>180000</v>
      </c>
      <c r="E9" s="6">
        <v>56</v>
      </c>
      <c r="F9" s="6">
        <f t="shared" si="0"/>
        <v>10080000</v>
      </c>
      <c r="G9" s="6">
        <f t="shared" si="1"/>
        <v>1209600</v>
      </c>
      <c r="H9" s="6">
        <f t="shared" si="2"/>
        <v>1030400</v>
      </c>
    </row>
    <row r="10" spans="1:8" x14ac:dyDescent="0.3">
      <c r="A10" s="5" t="s">
        <v>26</v>
      </c>
      <c r="B10" s="8"/>
      <c r="C10" s="12"/>
      <c r="D10" s="9"/>
      <c r="E10" s="10">
        <f>SUM(E4:E9)</f>
        <v>419</v>
      </c>
      <c r="F10" s="10">
        <f>SUM(F4:F9)</f>
        <v>87840000</v>
      </c>
      <c r="G10" s="10">
        <f>SUM(G4:G9)</f>
        <v>13316400</v>
      </c>
      <c r="H10" s="10">
        <f>SUM(H4:H9)</f>
        <v>9633600</v>
      </c>
    </row>
    <row r="11" spans="1:8" x14ac:dyDescent="0.3">
      <c r="A11" s="16"/>
      <c r="B11" s="16"/>
      <c r="C11" s="16"/>
      <c r="D11" s="4"/>
      <c r="E11" s="4"/>
      <c r="F11" s="4"/>
      <c r="G11" s="4"/>
      <c r="H11" s="4"/>
    </row>
    <row r="12" spans="1:8" x14ac:dyDescent="0.3">
      <c r="A12" s="5" t="s">
        <v>27</v>
      </c>
      <c r="B12" s="11">
        <v>0.12</v>
      </c>
      <c r="C12" s="13"/>
      <c r="D12" s="16"/>
      <c r="E12" s="16"/>
      <c r="F12" s="16"/>
      <c r="G12" s="16"/>
      <c r="H12" s="16"/>
    </row>
    <row r="13" spans="1:8" x14ac:dyDescent="0.3">
      <c r="A13" s="5" t="s">
        <v>28</v>
      </c>
      <c r="B13" s="11">
        <v>0.18</v>
      </c>
      <c r="C13" s="13"/>
      <c r="D13" s="16"/>
      <c r="E13" s="16"/>
      <c r="F13" s="16"/>
      <c r="G13" s="16"/>
      <c r="H13" s="16"/>
    </row>
  </sheetData>
  <scenarios current="0" sqref="H10">
    <scenario name="인상" locked="1" count="2" user="mbc" comment="만든 사람 mbc 날짜 2026-09-14">
      <inputCells r="B12" val="0.15" numFmtId="9"/>
      <inputCells r="B13" val="0.2" numFmtId="9"/>
    </scenario>
    <scenario name="인하" locked="1" count="2" user="mbc" comment="만든 사람 mbc 날짜 2026-09-14">
      <inputCells r="B12" val="0.1" numFmtId="9"/>
      <inputCells r="B13" val="0.15" numFmtId="9"/>
    </scenario>
  </scenarios>
  <mergeCells count="1">
    <mergeCell ref="A1:H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0"/>
  <sheetViews>
    <sheetView zoomScale="115" zoomScaleNormal="115" workbookViewId="0">
      <selection activeCell="J19" sqref="J19"/>
    </sheetView>
  </sheetViews>
  <sheetFormatPr defaultRowHeight="16.5" x14ac:dyDescent="0.3"/>
  <sheetData>
    <row r="1" spans="1:7" x14ac:dyDescent="0.3">
      <c r="A1" s="40" t="s">
        <v>38</v>
      </c>
      <c r="B1" s="40"/>
      <c r="C1" s="40"/>
      <c r="D1" s="40"/>
      <c r="E1" s="40"/>
      <c r="F1" s="40"/>
      <c r="G1" s="40"/>
    </row>
    <row r="2" spans="1:7" x14ac:dyDescent="0.3">
      <c r="G2" t="s">
        <v>39</v>
      </c>
    </row>
    <row r="3" spans="1:7" x14ac:dyDescent="0.3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59</v>
      </c>
    </row>
    <row r="4" spans="1:7" x14ac:dyDescent="0.3">
      <c r="A4" s="1" t="s">
        <v>46</v>
      </c>
      <c r="B4" s="1" t="s">
        <v>47</v>
      </c>
      <c r="C4" s="1" t="s">
        <v>48</v>
      </c>
      <c r="D4" s="2">
        <v>12563</v>
      </c>
      <c r="E4" s="2">
        <v>21512</v>
      </c>
      <c r="F4" s="2">
        <v>36000</v>
      </c>
      <c r="G4" s="70">
        <f>AVERAGE(D4:F4)</f>
        <v>23358.333333333332</v>
      </c>
    </row>
    <row r="5" spans="1:7" x14ac:dyDescent="0.3">
      <c r="A5" s="1" t="s">
        <v>49</v>
      </c>
      <c r="B5" s="1" t="s">
        <v>47</v>
      </c>
      <c r="C5" s="1" t="s">
        <v>50</v>
      </c>
      <c r="D5" s="2">
        <v>12541</v>
      </c>
      <c r="E5" s="2">
        <v>32100</v>
      </c>
      <c r="F5" s="2">
        <v>32120</v>
      </c>
      <c r="G5" s="70">
        <f t="shared" ref="G5:G10" si="0">AVERAGE(D5:F5)</f>
        <v>25587</v>
      </c>
    </row>
    <row r="6" spans="1:7" x14ac:dyDescent="0.3">
      <c r="A6" s="1" t="s">
        <v>46</v>
      </c>
      <c r="B6" s="1" t="s">
        <v>51</v>
      </c>
      <c r="C6" s="1" t="s">
        <v>52</v>
      </c>
      <c r="D6" s="2">
        <v>21231</v>
      </c>
      <c r="E6" s="2">
        <v>25125</v>
      </c>
      <c r="F6" s="2">
        <v>12100</v>
      </c>
      <c r="G6" s="70">
        <f t="shared" si="0"/>
        <v>19485.333333333332</v>
      </c>
    </row>
    <row r="7" spans="1:7" x14ac:dyDescent="0.3">
      <c r="A7" s="1" t="s">
        <v>53</v>
      </c>
      <c r="B7" s="1" t="s">
        <v>51</v>
      </c>
      <c r="C7" s="1" t="s">
        <v>54</v>
      </c>
      <c r="D7" s="2">
        <v>23561</v>
      </c>
      <c r="E7" s="2">
        <v>19875</v>
      </c>
      <c r="F7" s="2">
        <v>12254</v>
      </c>
      <c r="G7" s="70">
        <f t="shared" si="0"/>
        <v>18563.333333333332</v>
      </c>
    </row>
    <row r="8" spans="1:7" x14ac:dyDescent="0.3">
      <c r="A8" s="1" t="s">
        <v>49</v>
      </c>
      <c r="B8" s="1" t="s">
        <v>55</v>
      </c>
      <c r="C8" s="1" t="s">
        <v>56</v>
      </c>
      <c r="D8" s="2">
        <v>21452</v>
      </c>
      <c r="E8" s="2">
        <v>30020</v>
      </c>
      <c r="F8" s="2">
        <v>22365</v>
      </c>
      <c r="G8" s="70">
        <f t="shared" si="0"/>
        <v>24612.333333333332</v>
      </c>
    </row>
    <row r="9" spans="1:7" x14ac:dyDescent="0.3">
      <c r="A9" s="1" t="s">
        <v>49</v>
      </c>
      <c r="B9" s="1" t="s">
        <v>55</v>
      </c>
      <c r="C9" s="1" t="s">
        <v>57</v>
      </c>
      <c r="D9" s="2">
        <v>12564</v>
      </c>
      <c r="E9" s="2">
        <v>10558</v>
      </c>
      <c r="F9" s="2">
        <v>31230</v>
      </c>
      <c r="G9" s="70">
        <f t="shared" si="0"/>
        <v>18117.333333333332</v>
      </c>
    </row>
    <row r="10" spans="1:7" x14ac:dyDescent="0.3">
      <c r="A10" s="1" t="s">
        <v>53</v>
      </c>
      <c r="B10" s="1" t="s">
        <v>51</v>
      </c>
      <c r="C10" s="1" t="s">
        <v>58</v>
      </c>
      <c r="D10" s="2">
        <v>18954</v>
      </c>
      <c r="E10" s="2">
        <v>16554</v>
      </c>
      <c r="F10" s="2">
        <v>21100</v>
      </c>
      <c r="G10" s="70">
        <f t="shared" si="0"/>
        <v>18869.333333333332</v>
      </c>
    </row>
  </sheetData>
  <mergeCells count="1">
    <mergeCell ref="A1:G1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평균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9</xdr:col>
                    <xdr:colOff>657225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2:E5"/>
  <sheetViews>
    <sheetView tabSelected="1" workbookViewId="0">
      <selection activeCell="M10" sqref="M10"/>
    </sheetView>
  </sheetViews>
  <sheetFormatPr defaultRowHeight="16.5" x14ac:dyDescent="0.3"/>
  <cols>
    <col min="1" max="1" width="10.375" customWidth="1"/>
    <col min="2" max="5" width="10.875" bestFit="1" customWidth="1"/>
  </cols>
  <sheetData>
    <row r="2" spans="1:5" x14ac:dyDescent="0.3">
      <c r="A2" s="1" t="s">
        <v>111</v>
      </c>
      <c r="B2" s="1" t="s">
        <v>112</v>
      </c>
      <c r="C2" s="1" t="s">
        <v>113</v>
      </c>
      <c r="D2" s="1" t="s">
        <v>114</v>
      </c>
      <c r="E2" s="1" t="s">
        <v>115</v>
      </c>
    </row>
    <row r="3" spans="1:5" x14ac:dyDescent="0.3">
      <c r="A3" s="1" t="s">
        <v>116</v>
      </c>
      <c r="B3" s="2">
        <v>4125000</v>
      </c>
      <c r="C3" s="2">
        <v>3248000</v>
      </c>
      <c r="D3" s="2">
        <v>3550000</v>
      </c>
      <c r="E3" s="2">
        <v>4358000</v>
      </c>
    </row>
    <row r="4" spans="1:5" x14ac:dyDescent="0.3">
      <c r="A4" s="1" t="s">
        <v>117</v>
      </c>
      <c r="B4" s="2">
        <v>2120000</v>
      </c>
      <c r="C4" s="2">
        <v>3592000</v>
      </c>
      <c r="D4" s="2">
        <v>2621000</v>
      </c>
      <c r="E4" s="2">
        <v>1850000</v>
      </c>
    </row>
    <row r="5" spans="1:5" x14ac:dyDescent="0.3">
      <c r="A5" s="1" t="s">
        <v>118</v>
      </c>
      <c r="B5" s="2">
        <v>1020000</v>
      </c>
      <c r="C5" s="2">
        <v>1150000</v>
      </c>
      <c r="D5" s="2">
        <v>2750000</v>
      </c>
      <c r="E5" s="2">
        <v>1820000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골드</vt:lpstr>
      <vt:lpstr>일반</vt:lpstr>
      <vt:lpstr>판매이익합계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2024-04-08T08:55:14Z</dcterms:created>
  <dcterms:modified xsi:type="dcterms:W3CDTF">2026-09-14T12:52:16Z</dcterms:modified>
</cp:coreProperties>
</file>