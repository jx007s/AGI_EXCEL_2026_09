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DA637403-080B-4B15-8648-49C67D18A97E}" xr6:coauthVersionLast="47" xr6:coauthVersionMax="47" xr10:uidLastSave="{00000000-0000-0000-0000-000000000000}"/>
  <bookViews>
    <workbookView xWindow="22932" yWindow="-108" windowWidth="23256" windowHeight="12576" tabRatio="816" activeTab="7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4" i="7"/>
  <c r="H30" i="5"/>
  <c r="G30" i="5"/>
  <c r="E30" i="5"/>
  <c r="D30" i="5"/>
  <c r="H23" i="5"/>
  <c r="G23" i="5"/>
  <c r="E23" i="5"/>
  <c r="D23" i="5"/>
  <c r="H14" i="5"/>
  <c r="G14" i="5"/>
  <c r="E14" i="5"/>
  <c r="D14" i="5"/>
  <c r="H7" i="5"/>
  <c r="H32" i="5" s="1"/>
  <c r="G7" i="5"/>
  <c r="G32" i="5" s="1"/>
  <c r="E7" i="5"/>
  <c r="E32" i="5" s="1"/>
  <c r="D7" i="5"/>
  <c r="D32" i="5" s="1"/>
  <c r="H31" i="5"/>
  <c r="G31" i="5"/>
  <c r="E31" i="5"/>
  <c r="D31" i="5"/>
  <c r="H24" i="5"/>
  <c r="G24" i="5"/>
  <c r="E24" i="5"/>
  <c r="D24" i="5"/>
  <c r="H15" i="5"/>
  <c r="G15" i="5"/>
  <c r="E15" i="5"/>
  <c r="D15" i="5"/>
  <c r="H8" i="5"/>
  <c r="H33" i="5" s="1"/>
  <c r="G8" i="5"/>
  <c r="E8" i="5"/>
  <c r="E33" i="5" s="1"/>
  <c r="D8" i="5"/>
  <c r="D28" i="4"/>
  <c r="D29" i="4"/>
  <c r="D30" i="4"/>
  <c r="D31" i="4"/>
  <c r="D32" i="4"/>
  <c r="D33" i="4"/>
  <c r="D34" i="4"/>
  <c r="D27" i="4"/>
  <c r="J23" i="4"/>
  <c r="E23" i="4"/>
  <c r="J4" i="4"/>
  <c r="J5" i="4"/>
  <c r="J6" i="4"/>
  <c r="J7" i="4"/>
  <c r="J8" i="4"/>
  <c r="J9" i="4"/>
  <c r="J10" i="4"/>
  <c r="J11" i="4"/>
  <c r="J3" i="4"/>
  <c r="C11" i="4"/>
  <c r="D11" i="4"/>
  <c r="E11" i="4"/>
  <c r="B11" i="4"/>
  <c r="E12" i="7"/>
  <c r="G33" i="5" l="1"/>
  <c r="D33" i="5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2" l="1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5" i="2"/>
  <c r="I5" i="2" s="1"/>
  <c r="D10" i="8"/>
  <c r="D9" i="8"/>
  <c r="D8" i="8"/>
  <c r="D7" i="8"/>
  <c r="D6" i="8"/>
  <c r="D5" i="8"/>
  <c r="D4" i="8"/>
  <c r="E11" i="7"/>
  <c r="E10" i="7"/>
  <c r="E9" i="7"/>
  <c r="E8" i="7"/>
  <c r="E7" i="7"/>
  <c r="E6" i="7"/>
  <c r="E5" i="7"/>
  <c r="E4" i="7"/>
</calcChain>
</file>

<file path=xl/sharedStrings.xml><?xml version="1.0" encoding="utf-8"?>
<sst xmlns="http://schemas.openxmlformats.org/spreadsheetml/2006/main" count="440" uniqueCount="300">
  <si>
    <t>분기</t>
  </si>
  <si>
    <t>합계</t>
  </si>
  <si>
    <t>1분기</t>
  </si>
  <si>
    <t>2분기</t>
  </si>
  <si>
    <t>3분기</t>
  </si>
  <si>
    <t>4분기</t>
  </si>
  <si>
    <t>고객코드</t>
    <phoneticPr fontId="1" type="noConversion"/>
  </si>
  <si>
    <t>대출일</t>
    <phoneticPr fontId="1" type="noConversion"/>
  </si>
  <si>
    <t>대출종류</t>
    <phoneticPr fontId="1" type="noConversion"/>
  </si>
  <si>
    <t>대출금액</t>
    <phoneticPr fontId="1" type="noConversion"/>
  </si>
  <si>
    <t>기간(월)</t>
    <phoneticPr fontId="1" type="noConversion"/>
  </si>
  <si>
    <t>주택담보대출</t>
    <phoneticPr fontId="1" type="noConversion"/>
  </si>
  <si>
    <t>변동</t>
    <phoneticPr fontId="1" type="noConversion"/>
  </si>
  <si>
    <t>신용대출</t>
    <phoneticPr fontId="1" type="noConversion"/>
  </si>
  <si>
    <t>고정</t>
    <phoneticPr fontId="1" type="noConversion"/>
  </si>
  <si>
    <t>전세대출</t>
    <phoneticPr fontId="1" type="noConversion"/>
  </si>
  <si>
    <t>[표1]</t>
    <phoneticPr fontId="1" type="noConversion"/>
  </si>
  <si>
    <t>이름</t>
    <phoneticPr fontId="1" type="noConversion"/>
  </si>
  <si>
    <t>출발일자</t>
    <phoneticPr fontId="1" type="noConversion"/>
  </si>
  <si>
    <t>출발요일</t>
    <phoneticPr fontId="1" type="noConversion"/>
  </si>
  <si>
    <t>[표3]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</si>
  <si>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</si>
  <si>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</si>
  <si>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</si>
  <si>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판매가</t>
    <phoneticPr fontId="1" type="noConversion"/>
  </si>
  <si>
    <t>[표4]</t>
    <phoneticPr fontId="1" type="noConversion"/>
  </si>
  <si>
    <t>[표5]</t>
    <phoneticPr fontId="1" type="noConversion"/>
  </si>
  <si>
    <t>이름</t>
  </si>
  <si>
    <t>대여일자</t>
    <phoneticPr fontId="1" type="noConversion"/>
  </si>
  <si>
    <t>회원ID</t>
    <phoneticPr fontId="1" type="noConversion"/>
  </si>
  <si>
    <t>분류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</si>
  <si>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</si>
  <si>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</si>
  <si>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</si>
  <si>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회원구분</t>
    <phoneticPr fontId="1" type="noConversion"/>
  </si>
  <si>
    <t>일반</t>
    <phoneticPr fontId="1" type="noConversion"/>
  </si>
  <si>
    <t>6월1일</t>
    <phoneticPr fontId="1" type="noConversion"/>
  </si>
  <si>
    <t>서울</t>
    <phoneticPr fontId="1" type="noConversion"/>
  </si>
  <si>
    <t>6월2일</t>
  </si>
  <si>
    <t>경기</t>
    <phoneticPr fontId="1" type="noConversion"/>
  </si>
  <si>
    <t>6월3일</t>
    <phoneticPr fontId="1" type="noConversion"/>
  </si>
  <si>
    <t>제품코드</t>
    <phoneticPr fontId="1" type="noConversion"/>
  </si>
  <si>
    <t>원가</t>
    <phoneticPr fontId="1" type="noConversion"/>
  </si>
  <si>
    <t>순이익</t>
    <phoneticPr fontId="1" type="noConversion"/>
  </si>
  <si>
    <t>이익률</t>
    <phoneticPr fontId="1" type="noConversion"/>
  </si>
  <si>
    <t>성명</t>
  </si>
  <si>
    <t>평균</t>
  </si>
  <si>
    <t>직원명</t>
    <phoneticPr fontId="1" type="noConversion"/>
  </si>
  <si>
    <t>직급</t>
    <phoneticPr fontId="1" type="noConversion"/>
  </si>
  <si>
    <t>영업총액</t>
    <phoneticPr fontId="1" type="noConversion"/>
  </si>
  <si>
    <t>최맹규</t>
    <phoneticPr fontId="1" type="noConversion"/>
  </si>
  <si>
    <t>강범서</t>
    <phoneticPr fontId="1" type="noConversion"/>
  </si>
  <si>
    <t>이서연</t>
    <phoneticPr fontId="1" type="noConversion"/>
  </si>
  <si>
    <t>김숙현</t>
    <phoneticPr fontId="1" type="noConversion"/>
  </si>
  <si>
    <t>박준우</t>
    <phoneticPr fontId="1" type="noConversion"/>
  </si>
  <si>
    <t>김도연</t>
    <phoneticPr fontId="1" type="noConversion"/>
  </si>
  <si>
    <t>황정연</t>
    <phoneticPr fontId="1" type="noConversion"/>
  </si>
  <si>
    <t>임정은</t>
    <phoneticPr fontId="1" type="noConversion"/>
  </si>
  <si>
    <t>방지성</t>
    <phoneticPr fontId="1" type="noConversion"/>
  </si>
  <si>
    <t>전경민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</si>
  <si>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</si>
  <si>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</si>
  <si>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</si>
  <si>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차장</t>
    <phoneticPr fontId="1" type="noConversion"/>
  </si>
  <si>
    <t>부장</t>
    <phoneticPr fontId="1" type="noConversion"/>
  </si>
  <si>
    <t>본사</t>
    <phoneticPr fontId="1" type="noConversion"/>
  </si>
  <si>
    <t>지사</t>
    <phoneticPr fontId="1" type="noConversion"/>
  </si>
  <si>
    <t>근무지</t>
    <phoneticPr fontId="1" type="noConversion"/>
  </si>
  <si>
    <t>우대</t>
    <phoneticPr fontId="1" type="noConversion"/>
  </si>
  <si>
    <t>청년대출</t>
    <phoneticPr fontId="1" type="noConversion"/>
  </si>
  <si>
    <t>신혼부부대출</t>
    <phoneticPr fontId="1" type="noConversion"/>
  </si>
  <si>
    <t>버팀목대출</t>
    <phoneticPr fontId="1" type="noConversion"/>
  </si>
  <si>
    <t>TS11-002</t>
  </si>
  <si>
    <t>TS10-021</t>
  </si>
  <si>
    <t>TS13-007</t>
  </si>
  <si>
    <t>TS08-004</t>
  </si>
  <si>
    <t>TS12-031</t>
  </si>
  <si>
    <t>TS13-003</t>
  </si>
  <si>
    <t>TS65-023</t>
  </si>
  <si>
    <t>TS04-652</t>
  </si>
  <si>
    <t>TS09-655</t>
  </si>
  <si>
    <t>TS06-659</t>
  </si>
  <si>
    <t>TS12-652</t>
  </si>
  <si>
    <t>TS09-065</t>
  </si>
  <si>
    <t>TS12-982</t>
    <phoneticPr fontId="1" type="noConversion"/>
  </si>
  <si>
    <t>금리</t>
    <phoneticPr fontId="1" type="noConversion"/>
  </si>
  <si>
    <t>1사분기 대출 현황</t>
    <phoneticPr fontId="1" type="noConversion"/>
  </si>
  <si>
    <t>[표2]</t>
    <phoneticPr fontId="1" type="noConversion"/>
  </si>
  <si>
    <t>출장지</t>
    <phoneticPr fontId="1" type="noConversion"/>
  </si>
  <si>
    <t>지점명</t>
    <phoneticPr fontId="1" type="noConversion"/>
  </si>
  <si>
    <t>서울T</t>
  </si>
  <si>
    <t>경기T</t>
  </si>
  <si>
    <t>서울S</t>
  </si>
  <si>
    <t>경기S</t>
  </si>
  <si>
    <t>TT123-S</t>
    <phoneticPr fontId="1" type="noConversion"/>
  </si>
  <si>
    <t>SS980-T</t>
    <phoneticPr fontId="1" type="noConversion"/>
  </si>
  <si>
    <t>Y1234-S</t>
    <phoneticPr fontId="1" type="noConversion"/>
  </si>
  <si>
    <t>R1012-S</t>
    <phoneticPr fontId="1" type="noConversion"/>
  </si>
  <si>
    <t>HD156-T</t>
    <phoneticPr fontId="1" type="noConversion"/>
  </si>
  <si>
    <t>P0981-T</t>
    <phoneticPr fontId="1" type="noConversion"/>
  </si>
  <si>
    <t>OI123-S</t>
    <phoneticPr fontId="1" type="noConversion"/>
  </si>
  <si>
    <t>RO123-T</t>
    <phoneticPr fontId="1" type="noConversion"/>
  </si>
  <si>
    <t>&lt;가격기준표&gt;</t>
    <phoneticPr fontId="1" type="noConversion"/>
  </si>
  <si>
    <t>판매수량</t>
    <phoneticPr fontId="1" type="noConversion"/>
  </si>
  <si>
    <t>기기종류</t>
    <phoneticPr fontId="1" type="noConversion"/>
  </si>
  <si>
    <t>매출액</t>
    <phoneticPr fontId="1" type="noConversion"/>
  </si>
  <si>
    <t xml:space="preserve">전월매출액 </t>
    <phoneticPr fontId="1" type="noConversion"/>
  </si>
  <si>
    <t>세탁기</t>
    <phoneticPr fontId="1" type="noConversion"/>
  </si>
  <si>
    <t>냉장고</t>
    <phoneticPr fontId="1" type="noConversion"/>
  </si>
  <si>
    <t>TV</t>
    <phoneticPr fontId="1" type="noConversion"/>
  </si>
  <si>
    <t>에어컨</t>
    <phoneticPr fontId="1" type="noConversion"/>
  </si>
  <si>
    <t>전자레인지</t>
    <phoneticPr fontId="1" type="noConversion"/>
  </si>
  <si>
    <t>컴퓨터</t>
    <phoneticPr fontId="1" type="noConversion"/>
  </si>
  <si>
    <t>전월매출액 차이</t>
    <phoneticPr fontId="1" type="noConversion"/>
  </si>
  <si>
    <t>청소기</t>
    <phoneticPr fontId="1" type="noConversion"/>
  </si>
  <si>
    <t>식기세척기</t>
    <phoneticPr fontId="1" type="noConversion"/>
  </si>
  <si>
    <t>학번</t>
  </si>
  <si>
    <t>학과코드</t>
  </si>
  <si>
    <t>중간고사</t>
    <phoneticPr fontId="1" type="noConversion"/>
  </si>
  <si>
    <t>기말고사</t>
    <phoneticPr fontId="1" type="noConversion"/>
  </si>
  <si>
    <t>B2</t>
  </si>
  <si>
    <t>B1</t>
  </si>
  <si>
    <t>C2</t>
  </si>
  <si>
    <t>A2</t>
  </si>
  <si>
    <t>C1</t>
  </si>
  <si>
    <t>25B208</t>
  </si>
  <si>
    <t>25C212</t>
  </si>
  <si>
    <t>25A202</t>
  </si>
  <si>
    <t>25B225</t>
  </si>
  <si>
    <t>25C123</t>
  </si>
  <si>
    <t>24B110</t>
    <phoneticPr fontId="1" type="noConversion"/>
  </si>
  <si>
    <t>23C201</t>
    <phoneticPr fontId="1" type="noConversion"/>
  </si>
  <si>
    <t>24B111</t>
    <phoneticPr fontId="1" type="noConversion"/>
  </si>
  <si>
    <t>성적 우수 장학생 수</t>
    <phoneticPr fontId="1" type="noConversion"/>
  </si>
  <si>
    <t>이차돌</t>
    <phoneticPr fontId="1" type="noConversion"/>
  </si>
  <si>
    <t>차독진</t>
    <phoneticPr fontId="1" type="noConversion"/>
  </si>
  <si>
    <t>오차희</t>
    <phoneticPr fontId="1" type="noConversion"/>
  </si>
  <si>
    <t>김국진</t>
    <phoneticPr fontId="1" type="noConversion"/>
  </si>
  <si>
    <t>서오진</t>
    <phoneticPr fontId="1" type="noConversion"/>
  </si>
  <si>
    <t>김서연</t>
    <phoneticPr fontId="1" type="noConversion"/>
  </si>
  <si>
    <t>배한나</t>
    <phoneticPr fontId="1" type="noConversion"/>
  </si>
  <si>
    <t>전은주</t>
    <phoneticPr fontId="1" type="noConversion"/>
  </si>
  <si>
    <t>두바이</t>
    <phoneticPr fontId="1" type="noConversion"/>
  </si>
  <si>
    <t>스페인</t>
    <phoneticPr fontId="1" type="noConversion"/>
  </si>
  <si>
    <t>미국</t>
    <phoneticPr fontId="1" type="noConversion"/>
  </si>
  <si>
    <t>프랑스</t>
    <phoneticPr fontId="1" type="noConversion"/>
  </si>
  <si>
    <t>이탈리아</t>
    <phoneticPr fontId="1" type="noConversion"/>
  </si>
  <si>
    <t>영국</t>
    <phoneticPr fontId="1" type="noConversion"/>
  </si>
  <si>
    <t>핀란드</t>
    <phoneticPr fontId="1" type="noConversion"/>
  </si>
  <si>
    <t>스웨덴</t>
    <phoneticPr fontId="1" type="noConversion"/>
  </si>
  <si>
    <t>덴마크</t>
    <phoneticPr fontId="1" type="noConversion"/>
  </si>
  <si>
    <t>강우경</t>
    <phoneticPr fontId="1" type="noConversion"/>
  </si>
  <si>
    <t>김수진</t>
    <phoneticPr fontId="1" type="noConversion"/>
  </si>
  <si>
    <t>최한나</t>
    <phoneticPr fontId="1" type="noConversion"/>
  </si>
  <si>
    <t>이소정</t>
    <phoneticPr fontId="1" type="noConversion"/>
  </si>
  <si>
    <t>장진경</t>
    <phoneticPr fontId="1" type="noConversion"/>
  </si>
  <si>
    <t>김민진</t>
    <phoneticPr fontId="1" type="noConversion"/>
  </si>
  <si>
    <t>서우찬</t>
    <phoneticPr fontId="1" type="noConversion"/>
  </si>
  <si>
    <t>박이슬</t>
    <phoneticPr fontId="1" type="noConversion"/>
  </si>
  <si>
    <t>신성우</t>
    <phoneticPr fontId="1" type="noConversion"/>
  </si>
  <si>
    <t>TS-12</t>
    <phoneticPr fontId="1" type="noConversion"/>
  </si>
  <si>
    <t>UO-12</t>
    <phoneticPr fontId="1" type="noConversion"/>
  </si>
  <si>
    <t>RB-12</t>
    <phoneticPr fontId="1" type="noConversion"/>
  </si>
  <si>
    <t>WE-12</t>
    <phoneticPr fontId="1" type="noConversion"/>
  </si>
  <si>
    <t>김채원</t>
    <phoneticPr fontId="1" type="noConversion"/>
  </si>
  <si>
    <t>이현정</t>
    <phoneticPr fontId="1" type="noConversion"/>
  </si>
  <si>
    <t>강현주</t>
    <phoneticPr fontId="1" type="noConversion"/>
  </si>
  <si>
    <t>박소연</t>
    <phoneticPr fontId="1" type="noConversion"/>
  </si>
  <si>
    <t>최소진</t>
    <phoneticPr fontId="1" type="noConversion"/>
  </si>
  <si>
    <t>황준서</t>
    <phoneticPr fontId="1" type="noConversion"/>
  </si>
  <si>
    <t>어문</t>
    <phoneticPr fontId="1" type="noConversion"/>
  </si>
  <si>
    <t>수필</t>
    <phoneticPr fontId="1" type="noConversion"/>
  </si>
  <si>
    <t>자기개발</t>
    <phoneticPr fontId="1" type="noConversion"/>
  </si>
  <si>
    <t>코드</t>
    <phoneticPr fontId="1" type="noConversion"/>
  </si>
  <si>
    <t>TS-1123</t>
    <phoneticPr fontId="1" type="noConversion"/>
  </si>
  <si>
    <t>SS-1205</t>
    <phoneticPr fontId="1" type="noConversion"/>
  </si>
  <si>
    <t>KQ-1234</t>
    <phoneticPr fontId="1" type="noConversion"/>
  </si>
  <si>
    <t>TY-0987</t>
    <phoneticPr fontId="1" type="noConversion"/>
  </si>
  <si>
    <t>ZY-4356</t>
    <phoneticPr fontId="1" type="noConversion"/>
  </si>
  <si>
    <t>BN-1498</t>
    <phoneticPr fontId="1" type="noConversion"/>
  </si>
  <si>
    <t>6월7일</t>
  </si>
  <si>
    <t>6월13일</t>
    <phoneticPr fontId="1" type="noConversion"/>
  </si>
  <si>
    <t>6월15일</t>
    <phoneticPr fontId="1" type="noConversion"/>
  </si>
  <si>
    <t>급여대장</t>
    <phoneticPr fontId="9" type="noConversion"/>
  </si>
  <si>
    <t>직급</t>
    <phoneticPr fontId="9" type="noConversion"/>
  </si>
  <si>
    <t>지점명</t>
    <phoneticPr fontId="9" type="noConversion"/>
  </si>
  <si>
    <t>이름</t>
    <phoneticPr fontId="9" type="noConversion"/>
  </si>
  <si>
    <t>기본급</t>
    <phoneticPr fontId="9" type="noConversion"/>
  </si>
  <si>
    <t>상여금</t>
    <phoneticPr fontId="9" type="noConversion"/>
  </si>
  <si>
    <t>인센티브</t>
    <phoneticPr fontId="9" type="noConversion"/>
  </si>
  <si>
    <t>총지급액</t>
    <phoneticPr fontId="9" type="noConversion"/>
  </si>
  <si>
    <t>부장</t>
    <phoneticPr fontId="9" type="noConversion"/>
  </si>
  <si>
    <t>광화문</t>
    <phoneticPr fontId="9" type="noConversion"/>
  </si>
  <si>
    <t>최재석</t>
    <phoneticPr fontId="9" type="noConversion"/>
  </si>
  <si>
    <t>과장</t>
    <phoneticPr fontId="9" type="noConversion"/>
  </si>
  <si>
    <t>을지로</t>
    <phoneticPr fontId="9" type="noConversion"/>
  </si>
  <si>
    <t>김현태</t>
    <phoneticPr fontId="9" type="noConversion"/>
  </si>
  <si>
    <t>박상준</t>
    <phoneticPr fontId="9" type="noConversion"/>
  </si>
  <si>
    <t>대리</t>
    <phoneticPr fontId="9" type="noConversion"/>
  </si>
  <si>
    <t>이준성</t>
    <phoneticPr fontId="9" type="noConversion"/>
  </si>
  <si>
    <t>서대문</t>
  </si>
  <si>
    <t>이원섭</t>
    <phoneticPr fontId="9" type="noConversion"/>
  </si>
  <si>
    <t>김세환</t>
    <phoneticPr fontId="9" type="noConversion"/>
  </si>
  <si>
    <t>김형섭</t>
    <phoneticPr fontId="9" type="noConversion"/>
  </si>
  <si>
    <t>유제관</t>
    <phoneticPr fontId="9" type="noConversion"/>
  </si>
  <si>
    <t>유응구</t>
    <phoneticPr fontId="9" type="noConversion"/>
  </si>
  <si>
    <t>한성일</t>
    <phoneticPr fontId="9" type="noConversion"/>
  </si>
  <si>
    <t>최준기</t>
    <phoneticPr fontId="9" type="noConversion"/>
  </si>
  <si>
    <t>박병훈</t>
    <phoneticPr fontId="9" type="noConversion"/>
  </si>
  <si>
    <t>송창호</t>
    <phoneticPr fontId="9" type="noConversion"/>
  </si>
  <si>
    <t>송준호</t>
    <phoneticPr fontId="9" type="noConversion"/>
  </si>
  <si>
    <t>근무부서</t>
    <phoneticPr fontId="1" type="noConversion"/>
  </si>
  <si>
    <t>영업팀</t>
    <phoneticPr fontId="1" type="noConversion"/>
  </si>
  <si>
    <t>관리팀</t>
    <phoneticPr fontId="1" type="noConversion"/>
  </si>
  <si>
    <t>연구팀</t>
    <phoneticPr fontId="1" type="noConversion"/>
  </si>
  <si>
    <t>날짜</t>
    <phoneticPr fontId="1" type="noConversion"/>
  </si>
  <si>
    <t>TSB-001</t>
    <phoneticPr fontId="1" type="noConversion"/>
  </si>
  <si>
    <t>TSB-002</t>
    <phoneticPr fontId="1" type="noConversion"/>
  </si>
  <si>
    <t>TSB-003</t>
    <phoneticPr fontId="1" type="noConversion"/>
  </si>
  <si>
    <t>TSB-004</t>
  </si>
  <si>
    <t>TSB-005</t>
  </si>
  <si>
    <t>TSB-006</t>
  </si>
  <si>
    <t>TSB-007</t>
  </si>
  <si>
    <t>TSB-008</t>
  </si>
  <si>
    <t>5월 판매 이익률 현황</t>
    <phoneticPr fontId="1" type="noConversion"/>
  </si>
  <si>
    <t>TSB-009</t>
  </si>
  <si>
    <t>판매코드</t>
    <phoneticPr fontId="1" type="noConversion"/>
  </si>
  <si>
    <t>2학년 시험 결과</t>
    <phoneticPr fontId="1" type="noConversion"/>
  </si>
  <si>
    <t>소유진</t>
    <phoneticPr fontId="1" type="noConversion"/>
  </si>
  <si>
    <t>김유찬</t>
    <phoneticPr fontId="1" type="noConversion"/>
  </si>
  <si>
    <t>박기영</t>
    <phoneticPr fontId="1" type="noConversion"/>
  </si>
  <si>
    <t>이주연</t>
    <phoneticPr fontId="1" type="noConversion"/>
  </si>
  <si>
    <t>황태찬</t>
    <phoneticPr fontId="1" type="noConversion"/>
  </si>
  <si>
    <t>최유진</t>
    <phoneticPr fontId="1" type="noConversion"/>
  </si>
  <si>
    <t>전수미</t>
    <phoneticPr fontId="1" type="noConversion"/>
  </si>
  <si>
    <t>[표1]</t>
  </si>
  <si>
    <t>사원번호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</si>
  <si>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</si>
  <si>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</si>
  <si>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</si>
  <si>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</si>
  <si>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</si>
  <si>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</si>
  <si>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</si>
  <si>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</si>
  <si>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</si>
  <si>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</si>
  <si>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</si>
  <si>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</si>
  <si>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</si>
  <si>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</si>
  <si>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</si>
  <si>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</si>
  <si>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</si>
  <si>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</si>
  <si>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</si>
  <si>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</si>
  <si>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</si>
  <si>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</si>
  <si>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</si>
  <si>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</si>
  <si>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</si>
  <si>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</si>
  <si>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</si>
  <si>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</si>
  <si>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</si>
  <si>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</si>
  <si>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</si>
  <si>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</si>
  <si>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</si>
  <si>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</si>
  <si>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</si>
  <si>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</si>
  <si>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</si>
  <si>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</si>
  <si>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</si>
  <si>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4월 출시 음악앨범</t>
    <phoneticPr fontId="1" type="noConversion"/>
  </si>
  <si>
    <t>♠직원별 영업 실적 현황♠</t>
    <phoneticPr fontId="1" type="noConversion"/>
  </si>
  <si>
    <t>관리부서 최대</t>
  </si>
  <si>
    <t>생산부서 최대</t>
  </si>
  <si>
    <t>연구팀 최대</t>
  </si>
  <si>
    <t>영업부서 최대</t>
  </si>
  <si>
    <t>전체 최대값</t>
  </si>
  <si>
    <t>관리부서 최소</t>
  </si>
  <si>
    <t>생산부서 최소</t>
  </si>
  <si>
    <t>연구팀 최소</t>
  </si>
  <si>
    <t>영업부서 최소</t>
  </si>
  <si>
    <t>전체 최소값</t>
  </si>
  <si>
    <t>행 레이블</t>
  </si>
  <si>
    <t>직급</t>
  </si>
  <si>
    <t>(모두)</t>
  </si>
  <si>
    <t>광화문</t>
  </si>
  <si>
    <t>을지로</t>
  </si>
  <si>
    <t>관리팀</t>
  </si>
  <si>
    <t>영업팀</t>
  </si>
  <si>
    <t>열 레이블</t>
  </si>
  <si>
    <t>전체 평균 : 인센티브</t>
  </si>
  <si>
    <t>평균 : 인센티브</t>
  </si>
  <si>
    <t>전체 평균 : 총지급액</t>
  </si>
  <si>
    <t>평균 : 총지급액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</si>
</sst>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8" formatCode="#,##0_);[Red]\(#,##0\)"/>
    <numFmt numFmtId="179" formatCode="#,##0&quot;원&quot;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0" fontId="11" fillId="3" borderId="0" applyNumberFormat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0" fontId="7" fillId="0" borderId="1" xfId="3" applyFont="1" applyBorder="1" applyAlignment="1">
      <alignment horizontal="center" wrapText="1"/>
    </xf>
    <xf numFmtId="0" fontId="7" fillId="0" borderId="1" xfId="3" applyFont="1" applyBorder="1" applyAlignment="1">
      <alignment horizontal="right" wrapText="1"/>
    </xf>
    <xf numFmtId="0" fontId="7" fillId="0" borderId="1" xfId="3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1" fontId="0" fillId="0" borderId="0" xfId="1" applyFont="1">
      <alignment vertical="center"/>
    </xf>
    <xf numFmtId="41" fontId="8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7" xfId="4" applyBorder="1" applyAlignment="1">
      <alignment horizontal="center" vertical="center"/>
    </xf>
    <xf numFmtId="0" fontId="11" fillId="3" borderId="8" xfId="4" applyBorder="1" applyAlignment="1">
      <alignment horizontal="center" vertical="center"/>
    </xf>
    <xf numFmtId="0" fontId="11" fillId="3" borderId="9" xfId="4" applyBorder="1" applyAlignment="1">
      <alignment horizontal="center" vertical="center"/>
    </xf>
    <xf numFmtId="0" fontId="11" fillId="3" borderId="10" xfId="4" applyBorder="1" applyAlignment="1">
      <alignment horizontal="center" vertical="center"/>
    </xf>
    <xf numFmtId="0" fontId="11" fillId="3" borderId="11" xfId="4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9" fontId="0" fillId="0" borderId="14" xfId="0" applyNumberFormat="1" applyBorder="1">
      <alignment vertical="center"/>
    </xf>
    <xf numFmtId="178" fontId="0" fillId="0" borderId="1" xfId="1" applyNumberFormat="1" applyFont="1" applyFill="1" applyBorder="1">
      <alignment vertical="center"/>
    </xf>
    <xf numFmtId="178" fontId="0" fillId="0" borderId="6" xfId="1" applyNumberFormat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8" fontId="0" fillId="0" borderId="0" xfId="1" applyNumberFormat="1" applyFont="1" applyBorder="1">
      <alignment vertical="center"/>
    </xf>
    <xf numFmtId="178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NumberFormat="1">
      <alignment vertical="center"/>
    </xf>
  </cellXfs>
  <cellStyles count="5">
    <cellStyle name="강조색6" xfId="4" builtinId="49"/>
    <cellStyle name="백분율" xfId="2" builtinId="5"/>
    <cellStyle name="쉼표 [0]" xfId="1" builtinId="6"/>
    <cellStyle name="표준" xfId="0" builtinId="0"/>
    <cellStyle name="표준_계산작업" xfId="3" xr:uid="{DCE9B15E-E92E-427B-9036-D7780F173582}"/>
  </cellStyles>
  <dxfs count="1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numFmt numFmtId="178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</a:t>
            </a:r>
            <a:r>
              <a:rPr lang="ko-KR" altLang="en-US"/>
              <a:t>학년 시험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차트작업!$B$4:$B$10</c:f>
              <c:numCache>
                <c:formatCode>General</c:formatCode>
                <c:ptCount val="7"/>
                <c:pt idx="0">
                  <c:v>98</c:v>
                </c:pt>
                <c:pt idx="1">
                  <c:v>65</c:v>
                </c:pt>
                <c:pt idx="2">
                  <c:v>78</c:v>
                </c:pt>
                <c:pt idx="3">
                  <c:v>84</c:v>
                </c:pt>
                <c:pt idx="4">
                  <c:v>48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C5E-870E-9BA6D135476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기말고사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차트작업!$C$4:$C$10</c:f>
              <c:numCache>
                <c:formatCode>General</c:formatCode>
                <c:ptCount val="7"/>
                <c:pt idx="0">
                  <c:v>69</c:v>
                </c:pt>
                <c:pt idx="1">
                  <c:v>88</c:v>
                </c:pt>
                <c:pt idx="2">
                  <c:v>81</c:v>
                </c:pt>
                <c:pt idx="3">
                  <c:v>92</c:v>
                </c:pt>
                <c:pt idx="4">
                  <c:v>68</c:v>
                </c:pt>
                <c:pt idx="5">
                  <c:v>67</c:v>
                </c:pt>
                <c:pt idx="6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6255183"/>
        <c:axId val="1626252271"/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평균</c:v>
                </c:pt>
              </c:strCache>
            </c:strRef>
          </c:tx>
          <c:spPr>
            <a:ln w="508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차트작업!$D$4:$D$10</c:f>
              <c:numCache>
                <c:formatCode>General</c:formatCode>
                <c:ptCount val="7"/>
                <c:pt idx="0">
                  <c:v>83.5</c:v>
                </c:pt>
                <c:pt idx="1">
                  <c:v>76.5</c:v>
                </c:pt>
                <c:pt idx="2">
                  <c:v>79.5</c:v>
                </c:pt>
                <c:pt idx="3">
                  <c:v>88</c:v>
                </c:pt>
                <c:pt idx="4">
                  <c:v>58</c:v>
                </c:pt>
                <c:pt idx="5">
                  <c:v>63</c:v>
                </c:pt>
                <c:pt idx="6">
                  <c:v>77.5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255183"/>
        <c:axId val="1626252271"/>
      </c:lineChart>
      <c:catAx>
        <c:axId val="162625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2271"/>
        <c:crosses val="autoZero"/>
        <c:auto val="1"/>
        <c:lblAlgn val="ctr"/>
        <c:lblOffset val="100"/>
        <c:noMultiLvlLbl val="0"/>
      </c:catAx>
      <c:valAx>
        <c:axId val="162625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5183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13</xdr:row>
          <xdr:rowOff>19050</xdr:rowOff>
        </xdr:from>
        <xdr:to>
          <xdr:col>2</xdr:col>
          <xdr:colOff>657225</xdr:colOff>
          <xdr:row>14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22860</xdr:colOff>
      <xdr:row>13</xdr:row>
      <xdr:rowOff>22860</xdr:rowOff>
    </xdr:from>
    <xdr:to>
      <xdr:col>5</xdr:col>
      <xdr:colOff>822960</xdr:colOff>
      <xdr:row>14</xdr:row>
      <xdr:rowOff>190500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4647FB-C62A-444D-87C5-DF846CE353CE}"/>
            </a:ext>
          </a:extLst>
        </xdr:cNvPr>
        <xdr:cNvSpPr/>
      </xdr:nvSpPr>
      <xdr:spPr>
        <a:xfrm>
          <a:off x="3070860" y="2842260"/>
          <a:ext cx="163068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272D3C7-06E0-4CF6-8FB0-B17C2D709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79.905857175923" createdVersion="7" refreshedVersion="7" minRefreshableVersion="3" recordCount="14" xr:uid="{6FD9127A-C3E5-479E-AD9C-F280689D2FC6}">
  <cacheSource type="worksheet">
    <worksheetSource ref="A3:H17" sheet="분석작업-2"/>
  </cacheSource>
  <cacheFields count="8">
    <cacheField name="직급" numFmtId="0">
      <sharedItems count="3">
        <s v="부장"/>
        <s v="과장"/>
        <s v="대리"/>
      </sharedItems>
    </cacheField>
    <cacheField name="지점명" numFmtId="0">
      <sharedItems count="3">
        <s v="광화문"/>
        <s v="을지로"/>
        <s v="서대문"/>
      </sharedItems>
    </cacheField>
    <cacheField name="근무부서" numFmtId="0">
      <sharedItems count="3">
        <s v="관리팀"/>
        <s v="영업팀"/>
        <s v="연구팀"/>
      </sharedItems>
    </cacheField>
    <cacheField name="이름" numFmtId="0">
      <sharedItems/>
    </cacheField>
    <cacheField name="기본급" numFmtId="41">
      <sharedItems containsSemiMixedTypes="0" containsString="0" containsNumber="1" containsInteger="1" minValue="2200000" maxValue="3000000"/>
    </cacheField>
    <cacheField name="상여금" numFmtId="41">
      <sharedItems containsSemiMixedTypes="0" containsString="0" containsNumber="1" containsInteger="1" minValue="780000" maxValue="1500000"/>
    </cacheField>
    <cacheField name="인센티브" numFmtId="41">
      <sharedItems containsSemiMixedTypes="0" containsString="0" containsNumber="1" containsInteger="1" minValue="300000" maxValue="2177000"/>
    </cacheField>
    <cacheField name="총지급액" numFmtId="41">
      <sharedItems containsSemiMixedTypes="0" containsString="0" containsNumber="1" containsInteger="1" minValue="3280000" maxValue="667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s v="최재석"/>
    <n v="3000000"/>
    <n v="1500000"/>
    <n v="425000"/>
    <n v="4925000"/>
  </r>
  <r>
    <x v="1"/>
    <x v="1"/>
    <x v="1"/>
    <s v="김현태"/>
    <n v="2700000"/>
    <n v="1305000"/>
    <n v="485000"/>
    <n v="4490000"/>
  </r>
  <r>
    <x v="0"/>
    <x v="1"/>
    <x v="1"/>
    <s v="박상준"/>
    <n v="3000000"/>
    <n v="1500000"/>
    <n v="846000"/>
    <n v="5346000"/>
  </r>
  <r>
    <x v="2"/>
    <x v="0"/>
    <x v="0"/>
    <s v="이준성"/>
    <n v="2200000"/>
    <n v="980000"/>
    <n v="375000"/>
    <n v="3555000"/>
  </r>
  <r>
    <x v="2"/>
    <x v="2"/>
    <x v="2"/>
    <s v="이원섭"/>
    <n v="2200000"/>
    <n v="780000"/>
    <n v="300000"/>
    <n v="3280000"/>
  </r>
  <r>
    <x v="0"/>
    <x v="2"/>
    <x v="2"/>
    <s v="김세환"/>
    <n v="3000000"/>
    <n v="1500000"/>
    <n v="1500000"/>
    <n v="6000000"/>
  </r>
  <r>
    <x v="1"/>
    <x v="0"/>
    <x v="2"/>
    <s v="김형섭"/>
    <n v="2700000"/>
    <n v="1305000"/>
    <n v="626000"/>
    <n v="4631000"/>
  </r>
  <r>
    <x v="2"/>
    <x v="1"/>
    <x v="1"/>
    <s v="유제관"/>
    <n v="2200000"/>
    <n v="980000"/>
    <n v="739000"/>
    <n v="3919000"/>
  </r>
  <r>
    <x v="1"/>
    <x v="2"/>
    <x v="0"/>
    <s v="유응구"/>
    <n v="2700000"/>
    <n v="1305000"/>
    <n v="302000"/>
    <n v="4307000"/>
  </r>
  <r>
    <x v="0"/>
    <x v="0"/>
    <x v="1"/>
    <s v="한성일"/>
    <n v="3000000"/>
    <n v="1500000"/>
    <n v="571000"/>
    <n v="5071000"/>
  </r>
  <r>
    <x v="1"/>
    <x v="2"/>
    <x v="0"/>
    <s v="최준기"/>
    <n v="2700000"/>
    <n v="1305000"/>
    <n v="812100"/>
    <n v="4817100"/>
  </r>
  <r>
    <x v="1"/>
    <x v="1"/>
    <x v="1"/>
    <s v="박병훈"/>
    <n v="2700000"/>
    <n v="1305000"/>
    <n v="1350000"/>
    <n v="5355000"/>
  </r>
  <r>
    <x v="0"/>
    <x v="0"/>
    <x v="1"/>
    <s v="송창호"/>
    <n v="3000000"/>
    <n v="1500000"/>
    <n v="2177000"/>
    <n v="6677000"/>
  </r>
  <r>
    <x v="2"/>
    <x v="2"/>
    <x v="0"/>
    <s v="송준호"/>
    <n v="2200000"/>
    <n v="980000"/>
    <n v="371500"/>
    <n v="355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924AB-DC9E-4879-8ADD-E51D762A524F}" name="피벗 테이블1" cacheId="4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22:D34" firstHeaderRow="1" firstDataRow="2" firstDataCol="1" rowPageCount="1" colPageCount="1"/>
  <pivotFields count="8">
    <pivotField axis="axisPage" showAll="0">
      <items count="4">
        <item x="1"/>
        <item x="2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numFmtId="41" showAll="0"/>
    <pivotField numFmtId="41" showAll="0"/>
    <pivotField dataField="1" numFmtId="41" showAll="0"/>
    <pivotField dataField="1" numFmtId="41" showAl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2"/>
  </colFields>
  <colItems count="3">
    <i>
      <x/>
    </i>
    <i>
      <x v="1"/>
    </i>
    <i>
      <x v="2"/>
    </i>
  </colItems>
  <pageFields count="1">
    <pageField fld="0" hier="-1"/>
  </pageFields>
  <dataFields count="2">
    <dataField name="평균 : 인센티브" fld="6" subtotal="average" baseField="1" baseItem="0"/>
    <dataField name="평균 : 총지급액" fld="7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759C84-7699-45FF-808F-D987206F2B7E}" name="표2" displayName="표2" ref="A2:H33" totalsRowShown="0" headerRowDxfId="0" dataDxfId="1" headerRowBorderDxfId="10" tableBorderDxfId="11" dataCellStyle="쉼표 [0]">
  <autoFilter ref="A2:H33" xr:uid="{D8759C84-7699-45FF-808F-D987206F2B7E}"/>
  <tableColumns count="8">
    <tableColumn id="1" xr3:uid="{D23CFC3D-AB14-4E39-82ED-A51A8603B68D}" name="사원번호" dataDxfId="9"/>
    <tableColumn id="2" xr3:uid="{AD2F6209-BD9A-4517-A571-FD393BAC3106}" name="근무지" dataDxfId="8"/>
    <tableColumn id="3" xr3:uid="{AD9385AD-C18B-4A8A-94AD-E65AC6984E71}" name="업무부서" dataDxfId="7"/>
    <tableColumn id="4" xr3:uid="{5AFE85E1-BAEF-4040-85AF-A3CE92C6C37B}" name="기본급" dataDxfId="6" dataCellStyle="쉼표 [0]"/>
    <tableColumn id="5" xr3:uid="{1F40026F-ADB0-46EE-A0E9-C18963C19A99}" name="수당" dataDxfId="5" dataCellStyle="쉼표 [0]"/>
    <tableColumn id="6" xr3:uid="{3C104548-6FA4-4D10-B74D-A243A8683D99}" name="시간외근무" dataDxfId="4"/>
    <tableColumn id="7" xr3:uid="{B8A138A3-39E1-4096-B0A4-72FE59A1A19F}" name="식대" dataDxfId="3" dataCellStyle="쉼표 [0]"/>
    <tableColumn id="8" xr3:uid="{CAB5A6FD-5661-4DFF-AEBC-B128BF01EADC}" name="교통비" dataDxfId="2" dataCellStyle="쉼표 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/>
  </sheetViews>
  <sheetFormatPr defaultRowHeight="16.5" x14ac:dyDescent="0.3"/>
  <cols>
    <col min="1" max="1" width="26.25" bestFit="1" customWidth="1"/>
    <col min="2" max="2" width="11.125" bestFit="1" customWidth="1"/>
    <col min="3" max="3" width="18.375" bestFit="1" customWidth="1"/>
    <col min="4" max="4" width="18.625" bestFit="1" customWidth="1"/>
    <col min="5" max="5" width="14.625" bestFit="1" customWidth="1"/>
    <col min="6" max="6" width="24.875" bestFit="1" customWidth="1"/>
  </cols>
  <sheetData>
    <row r="1" spans="1:1" x14ac:dyDescent="0.3">
      <c r="A1" t="s">
        <v>276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I14"/>
  <sheetViews>
    <sheetView workbookViewId="0">
      <selection activeCell="M11" sqref="M11"/>
    </sheetView>
  </sheetViews>
  <sheetFormatPr defaultRowHeight="16.5" x14ac:dyDescent="0.3"/>
  <cols>
    <col min="9" max="9" width="12.375" bestFit="1" customWidth="1"/>
  </cols>
  <sheetData>
    <row r="1" spans="1:9" ht="22.5" x14ac:dyDescent="0.3">
      <c r="A1" s="36" t="s">
        <v>277</v>
      </c>
      <c r="B1" s="36"/>
      <c r="C1" s="36"/>
      <c r="D1" s="36"/>
      <c r="E1" s="36"/>
      <c r="F1" s="36"/>
      <c r="G1" s="36"/>
      <c r="H1" s="36"/>
      <c r="I1" s="36"/>
    </row>
    <row r="2" spans="1:9" ht="17.25" thickBot="1" x14ac:dyDescent="0.35"/>
    <row r="3" spans="1:9" x14ac:dyDescent="0.3">
      <c r="A3" s="39" t="s">
        <v>47</v>
      </c>
      <c r="B3" s="40" t="s">
        <v>67</v>
      </c>
      <c r="C3" s="40" t="s">
        <v>48</v>
      </c>
      <c r="D3" s="40" t="s">
        <v>0</v>
      </c>
      <c r="E3" s="40"/>
      <c r="F3" s="40"/>
      <c r="G3" s="40"/>
      <c r="H3" s="40" t="s">
        <v>1</v>
      </c>
      <c r="I3" s="41" t="s">
        <v>49</v>
      </c>
    </row>
    <row r="4" spans="1:9" x14ac:dyDescent="0.3">
      <c r="A4" s="42"/>
      <c r="B4" s="37"/>
      <c r="C4" s="37"/>
      <c r="D4" s="38" t="s">
        <v>2</v>
      </c>
      <c r="E4" s="38" t="s">
        <v>3</v>
      </c>
      <c r="F4" s="38" t="s">
        <v>4</v>
      </c>
      <c r="G4" s="38" t="s">
        <v>5</v>
      </c>
      <c r="H4" s="37"/>
      <c r="I4" s="43"/>
    </row>
    <row r="5" spans="1:9" x14ac:dyDescent="0.3">
      <c r="A5" s="44" t="s">
        <v>50</v>
      </c>
      <c r="B5" s="13" t="s">
        <v>66</v>
      </c>
      <c r="C5" s="13" t="s">
        <v>60</v>
      </c>
      <c r="D5" s="13">
        <v>118</v>
      </c>
      <c r="E5" s="13">
        <v>111</v>
      </c>
      <c r="F5" s="13">
        <v>125</v>
      </c>
      <c r="G5" s="13">
        <v>286</v>
      </c>
      <c r="H5" s="13">
        <f>SUM(D5:G5)</f>
        <v>640</v>
      </c>
      <c r="I5" s="45">
        <f>H5*21000</f>
        <v>13440000</v>
      </c>
    </row>
    <row r="6" spans="1:9" x14ac:dyDescent="0.3">
      <c r="A6" s="44" t="s">
        <v>51</v>
      </c>
      <c r="B6" s="13" t="s">
        <v>66</v>
      </c>
      <c r="C6" s="13" t="s">
        <v>60</v>
      </c>
      <c r="D6" s="13">
        <v>198</v>
      </c>
      <c r="E6" s="13">
        <v>119</v>
      </c>
      <c r="F6" s="13">
        <v>162</v>
      </c>
      <c r="G6" s="13">
        <v>259</v>
      </c>
      <c r="H6" s="13">
        <f t="shared" ref="H6:H14" si="0">SUM(D6:G6)</f>
        <v>738</v>
      </c>
      <c r="I6" s="45">
        <f t="shared" ref="I6:I14" si="1">H6*21000</f>
        <v>15498000</v>
      </c>
    </row>
    <row r="7" spans="1:9" x14ac:dyDescent="0.3">
      <c r="A7" s="44" t="s">
        <v>52</v>
      </c>
      <c r="B7" s="13" t="s">
        <v>65</v>
      </c>
      <c r="C7" s="13" t="s">
        <v>61</v>
      </c>
      <c r="D7" s="13">
        <v>269</v>
      </c>
      <c r="E7" s="13">
        <v>156</v>
      </c>
      <c r="F7" s="13">
        <v>261</v>
      </c>
      <c r="G7" s="13">
        <v>105</v>
      </c>
      <c r="H7" s="13">
        <f t="shared" si="0"/>
        <v>791</v>
      </c>
      <c r="I7" s="45">
        <f t="shared" si="1"/>
        <v>16611000</v>
      </c>
    </row>
    <row r="8" spans="1:9" x14ac:dyDescent="0.3">
      <c r="A8" s="44" t="s">
        <v>53</v>
      </c>
      <c r="B8" s="13" t="s">
        <v>66</v>
      </c>
      <c r="C8" s="13" t="s">
        <v>61</v>
      </c>
      <c r="D8" s="13">
        <v>145</v>
      </c>
      <c r="E8" s="13">
        <v>285</v>
      </c>
      <c r="F8" s="13">
        <v>119</v>
      </c>
      <c r="G8" s="13">
        <v>109</v>
      </c>
      <c r="H8" s="13">
        <f t="shared" si="0"/>
        <v>658</v>
      </c>
      <c r="I8" s="45">
        <f t="shared" si="1"/>
        <v>13818000</v>
      </c>
    </row>
    <row r="9" spans="1:9" x14ac:dyDescent="0.3">
      <c r="A9" s="44" t="s">
        <v>54</v>
      </c>
      <c r="B9" s="13" t="s">
        <v>65</v>
      </c>
      <c r="C9" s="13" t="s">
        <v>62</v>
      </c>
      <c r="D9" s="13">
        <v>119</v>
      </c>
      <c r="E9" s="13">
        <v>146</v>
      </c>
      <c r="F9" s="13">
        <v>279</v>
      </c>
      <c r="G9" s="13">
        <v>266</v>
      </c>
      <c r="H9" s="13">
        <f t="shared" si="0"/>
        <v>810</v>
      </c>
      <c r="I9" s="45">
        <f t="shared" si="1"/>
        <v>17010000</v>
      </c>
    </row>
    <row r="10" spans="1:9" x14ac:dyDescent="0.3">
      <c r="A10" s="44" t="s">
        <v>55</v>
      </c>
      <c r="B10" s="13" t="s">
        <v>66</v>
      </c>
      <c r="C10" s="13" t="s">
        <v>62</v>
      </c>
      <c r="D10" s="13">
        <v>271</v>
      </c>
      <c r="E10" s="13">
        <v>285</v>
      </c>
      <c r="F10" s="13">
        <v>102</v>
      </c>
      <c r="G10" s="13">
        <v>282</v>
      </c>
      <c r="H10" s="13">
        <f t="shared" si="0"/>
        <v>940</v>
      </c>
      <c r="I10" s="45">
        <f t="shared" si="1"/>
        <v>19740000</v>
      </c>
    </row>
    <row r="11" spans="1:9" x14ac:dyDescent="0.3">
      <c r="A11" s="44" t="s">
        <v>56</v>
      </c>
      <c r="B11" s="13" t="s">
        <v>65</v>
      </c>
      <c r="C11" s="13" t="s">
        <v>63</v>
      </c>
      <c r="D11" s="13">
        <v>276</v>
      </c>
      <c r="E11" s="13">
        <v>236</v>
      </c>
      <c r="F11" s="13">
        <v>122</v>
      </c>
      <c r="G11" s="13">
        <v>281</v>
      </c>
      <c r="H11" s="13">
        <f t="shared" si="0"/>
        <v>915</v>
      </c>
      <c r="I11" s="45">
        <f t="shared" si="1"/>
        <v>19215000</v>
      </c>
    </row>
    <row r="12" spans="1:9" x14ac:dyDescent="0.3">
      <c r="A12" s="44" t="s">
        <v>57</v>
      </c>
      <c r="B12" s="13" t="s">
        <v>66</v>
      </c>
      <c r="C12" s="13" t="s">
        <v>63</v>
      </c>
      <c r="D12" s="13">
        <v>222</v>
      </c>
      <c r="E12" s="13">
        <v>121</v>
      </c>
      <c r="F12" s="13">
        <v>149</v>
      </c>
      <c r="G12" s="13">
        <v>245</v>
      </c>
      <c r="H12" s="13">
        <f t="shared" si="0"/>
        <v>737</v>
      </c>
      <c r="I12" s="45">
        <f t="shared" si="1"/>
        <v>15477000</v>
      </c>
    </row>
    <row r="13" spans="1:9" x14ac:dyDescent="0.3">
      <c r="A13" s="44" t="s">
        <v>58</v>
      </c>
      <c r="B13" s="13" t="s">
        <v>65</v>
      </c>
      <c r="C13" s="13" t="s">
        <v>64</v>
      </c>
      <c r="D13" s="13">
        <v>341</v>
      </c>
      <c r="E13" s="13">
        <v>219</v>
      </c>
      <c r="F13" s="13">
        <v>282</v>
      </c>
      <c r="G13" s="13">
        <v>145</v>
      </c>
      <c r="H13" s="13">
        <f t="shared" si="0"/>
        <v>987</v>
      </c>
      <c r="I13" s="45">
        <f t="shared" si="1"/>
        <v>20727000</v>
      </c>
    </row>
    <row r="14" spans="1:9" ht="17.25" thickBot="1" x14ac:dyDescent="0.35">
      <c r="A14" s="46" t="s">
        <v>59</v>
      </c>
      <c r="B14" s="47" t="s">
        <v>66</v>
      </c>
      <c r="C14" s="47" t="s">
        <v>64</v>
      </c>
      <c r="D14" s="47">
        <v>285</v>
      </c>
      <c r="E14" s="47">
        <v>271</v>
      </c>
      <c r="F14" s="47">
        <v>182</v>
      </c>
      <c r="G14" s="47">
        <v>169</v>
      </c>
      <c r="H14" s="47">
        <f t="shared" si="0"/>
        <v>907</v>
      </c>
      <c r="I14" s="48">
        <f t="shared" si="1"/>
        <v>19047000</v>
      </c>
    </row>
  </sheetData>
  <mergeCells count="7">
    <mergeCell ref="A1:I1"/>
    <mergeCell ref="A3:A4"/>
    <mergeCell ref="B3:B4"/>
    <mergeCell ref="C3:C4"/>
    <mergeCell ref="D3:G3"/>
    <mergeCell ref="H3:H4"/>
    <mergeCell ref="I3:I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G16"/>
  <sheetViews>
    <sheetView workbookViewId="0">
      <selection activeCell="K12" sqref="K12"/>
    </sheetView>
  </sheetViews>
  <sheetFormatPr defaultRowHeight="16.5" x14ac:dyDescent="0.3"/>
  <cols>
    <col min="1" max="1" width="10.5" customWidth="1"/>
    <col min="2" max="2" width="13.125" customWidth="1"/>
    <col min="3" max="3" width="14.375" customWidth="1"/>
    <col min="4" max="4" width="13" bestFit="1" customWidth="1"/>
    <col min="5" max="5" width="13.375" customWidth="1"/>
    <col min="6" max="6" width="12.625" customWidth="1"/>
  </cols>
  <sheetData>
    <row r="1" spans="1:7" ht="20.25" x14ac:dyDescent="0.3">
      <c r="A1" s="31" t="s">
        <v>86</v>
      </c>
      <c r="B1" s="31"/>
      <c r="C1" s="31"/>
      <c r="D1" s="31"/>
      <c r="E1" s="31"/>
      <c r="F1" s="31"/>
      <c r="G1" s="31"/>
    </row>
    <row r="3" spans="1:7" x14ac:dyDescent="0.3">
      <c r="A3" s="10" t="s">
        <v>6</v>
      </c>
      <c r="B3" s="10" t="s">
        <v>7</v>
      </c>
      <c r="C3" s="10" t="s">
        <v>8</v>
      </c>
      <c r="D3" s="10" t="s">
        <v>85</v>
      </c>
      <c r="E3" s="10" t="s">
        <v>68</v>
      </c>
      <c r="F3" s="10" t="s">
        <v>9</v>
      </c>
      <c r="G3" s="10" t="s">
        <v>10</v>
      </c>
    </row>
    <row r="4" spans="1:7" x14ac:dyDescent="0.3">
      <c r="A4" s="10" t="s">
        <v>78</v>
      </c>
      <c r="B4" s="16">
        <v>45298</v>
      </c>
      <c r="C4" s="10" t="s">
        <v>69</v>
      </c>
      <c r="D4" s="10" t="s">
        <v>12</v>
      </c>
      <c r="E4" s="10" t="s">
        <v>68</v>
      </c>
      <c r="F4" s="4">
        <v>22500000</v>
      </c>
      <c r="G4" s="10">
        <v>36</v>
      </c>
    </row>
    <row r="5" spans="1:7" x14ac:dyDescent="0.3">
      <c r="A5" s="10" t="s">
        <v>79</v>
      </c>
      <c r="B5" s="16">
        <v>45316</v>
      </c>
      <c r="C5" s="10" t="s">
        <v>71</v>
      </c>
      <c r="D5" s="10" t="s">
        <v>14</v>
      </c>
      <c r="E5" s="10" t="s">
        <v>35</v>
      </c>
      <c r="F5" s="4">
        <v>15000000</v>
      </c>
      <c r="G5" s="10">
        <v>48</v>
      </c>
    </row>
    <row r="6" spans="1:7" x14ac:dyDescent="0.3">
      <c r="A6" s="10" t="s">
        <v>72</v>
      </c>
      <c r="B6" s="16">
        <v>45322</v>
      </c>
      <c r="C6" s="10" t="s">
        <v>70</v>
      </c>
      <c r="D6" s="10" t="s">
        <v>12</v>
      </c>
      <c r="E6" s="10" t="s">
        <v>68</v>
      </c>
      <c r="F6" s="4">
        <v>12000000</v>
      </c>
      <c r="G6" s="10">
        <v>50</v>
      </c>
    </row>
    <row r="7" spans="1:7" x14ac:dyDescent="0.3">
      <c r="A7" s="10" t="s">
        <v>73</v>
      </c>
      <c r="B7" s="16">
        <v>45324</v>
      </c>
      <c r="C7" s="10" t="s">
        <v>15</v>
      </c>
      <c r="D7" s="10" t="s">
        <v>14</v>
      </c>
      <c r="E7" s="10" t="s">
        <v>68</v>
      </c>
      <c r="F7" s="4">
        <v>9750000</v>
      </c>
      <c r="G7" s="10">
        <v>72</v>
      </c>
    </row>
    <row r="8" spans="1:7" x14ac:dyDescent="0.3">
      <c r="A8" s="10" t="s">
        <v>80</v>
      </c>
      <c r="B8" s="16">
        <v>45327</v>
      </c>
      <c r="C8" s="10" t="s">
        <v>11</v>
      </c>
      <c r="D8" s="10" t="s">
        <v>12</v>
      </c>
      <c r="E8" s="10" t="s">
        <v>35</v>
      </c>
      <c r="F8" s="4">
        <v>36000000</v>
      </c>
      <c r="G8" s="10">
        <v>80</v>
      </c>
    </row>
    <row r="9" spans="1:7" x14ac:dyDescent="0.3">
      <c r="A9" s="10" t="s">
        <v>74</v>
      </c>
      <c r="B9" s="16">
        <v>45330</v>
      </c>
      <c r="C9" s="10" t="s">
        <v>69</v>
      </c>
      <c r="D9" s="10" t="s">
        <v>14</v>
      </c>
      <c r="E9" s="10" t="s">
        <v>68</v>
      </c>
      <c r="F9" s="4">
        <v>14250000</v>
      </c>
      <c r="G9" s="10">
        <v>82</v>
      </c>
    </row>
    <row r="10" spans="1:7" x14ac:dyDescent="0.3">
      <c r="A10" s="10" t="s">
        <v>81</v>
      </c>
      <c r="B10" s="16">
        <v>45344</v>
      </c>
      <c r="C10" s="10" t="s">
        <v>70</v>
      </c>
      <c r="D10" s="10" t="s">
        <v>14</v>
      </c>
      <c r="E10" s="10" t="s">
        <v>68</v>
      </c>
      <c r="F10" s="4">
        <v>30000000</v>
      </c>
      <c r="G10" s="10">
        <v>92</v>
      </c>
    </row>
    <row r="11" spans="1:7" x14ac:dyDescent="0.3">
      <c r="A11" s="10" t="s">
        <v>75</v>
      </c>
      <c r="B11" s="16">
        <v>45349</v>
      </c>
      <c r="C11" s="10" t="s">
        <v>13</v>
      </c>
      <c r="D11" s="10" t="s">
        <v>12</v>
      </c>
      <c r="E11" s="10" t="s">
        <v>35</v>
      </c>
      <c r="F11" s="4">
        <v>27000000</v>
      </c>
      <c r="G11" s="10">
        <v>100</v>
      </c>
    </row>
    <row r="12" spans="1:7" x14ac:dyDescent="0.3">
      <c r="A12" s="10" t="s">
        <v>76</v>
      </c>
      <c r="B12" s="16">
        <v>45353</v>
      </c>
      <c r="C12" s="10" t="s">
        <v>15</v>
      </c>
      <c r="D12" s="10" t="s">
        <v>12</v>
      </c>
      <c r="E12" s="10" t="s">
        <v>68</v>
      </c>
      <c r="F12" s="4">
        <v>11700000</v>
      </c>
      <c r="G12" s="10">
        <v>64</v>
      </c>
    </row>
    <row r="13" spans="1:7" x14ac:dyDescent="0.3">
      <c r="A13" s="10" t="s">
        <v>82</v>
      </c>
      <c r="B13" s="16">
        <v>45358</v>
      </c>
      <c r="C13" s="10" t="s">
        <v>11</v>
      </c>
      <c r="D13" s="10" t="s">
        <v>12</v>
      </c>
      <c r="E13" s="10" t="s">
        <v>35</v>
      </c>
      <c r="F13" s="4">
        <v>18000000</v>
      </c>
      <c r="G13" s="10">
        <v>48</v>
      </c>
    </row>
    <row r="14" spans="1:7" x14ac:dyDescent="0.3">
      <c r="A14" s="10" t="s">
        <v>77</v>
      </c>
      <c r="B14" s="16">
        <v>45367</v>
      </c>
      <c r="C14" s="10" t="s">
        <v>69</v>
      </c>
      <c r="D14" s="10" t="s">
        <v>14</v>
      </c>
      <c r="E14" s="10" t="s">
        <v>35</v>
      </c>
      <c r="F14" s="4">
        <v>13500000</v>
      </c>
      <c r="G14" s="10">
        <v>72</v>
      </c>
    </row>
    <row r="15" spans="1:7" x14ac:dyDescent="0.3">
      <c r="A15" s="10" t="s">
        <v>83</v>
      </c>
      <c r="B15" s="16">
        <v>45372</v>
      </c>
      <c r="C15" s="10" t="s">
        <v>71</v>
      </c>
      <c r="D15" s="10" t="s">
        <v>12</v>
      </c>
      <c r="E15" s="10" t="s">
        <v>68</v>
      </c>
      <c r="F15" s="4">
        <v>12300000</v>
      </c>
      <c r="G15" s="10">
        <v>75</v>
      </c>
    </row>
    <row r="16" spans="1:7" x14ac:dyDescent="0.3">
      <c r="A16" s="10" t="s">
        <v>84</v>
      </c>
      <c r="B16" s="16">
        <v>45378</v>
      </c>
      <c r="C16" s="14" t="s">
        <v>11</v>
      </c>
      <c r="D16" s="10" t="s">
        <v>14</v>
      </c>
      <c r="E16" s="14" t="s">
        <v>35</v>
      </c>
      <c r="F16" s="15">
        <v>5000000</v>
      </c>
      <c r="G16" s="14">
        <v>65</v>
      </c>
    </row>
  </sheetData>
  <mergeCells count="1">
    <mergeCell ref="A1:G1"/>
  </mergeCells>
  <phoneticPr fontId="1" type="noConversion"/>
  <conditionalFormatting sqref="A4:G16">
    <cfRule type="expression" dxfId="12" priority="1">
      <formula>$F4&gt;=AVERAGE($F$4:$F$16)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J34"/>
  <sheetViews>
    <sheetView topLeftCell="A19" zoomScale="130" zoomScaleNormal="130" workbookViewId="0">
      <selection activeCell="G32" sqref="G32"/>
    </sheetView>
  </sheetViews>
  <sheetFormatPr defaultRowHeight="16.5" x14ac:dyDescent="0.3"/>
  <cols>
    <col min="2" max="2" width="18.125" bestFit="1" customWidth="1"/>
    <col min="3" max="3" width="13.5" customWidth="1"/>
    <col min="4" max="4" width="11.875" bestFit="1" customWidth="1"/>
    <col min="5" max="5" width="9.875" customWidth="1"/>
    <col min="7" max="7" width="11" bestFit="1" customWidth="1"/>
    <col min="8" max="8" width="14.625" bestFit="1" customWidth="1"/>
    <col min="9" max="9" width="11.125" bestFit="1" customWidth="1"/>
    <col min="10" max="10" width="11.875" bestFit="1" customWidth="1"/>
  </cols>
  <sheetData>
    <row r="1" spans="1:10" x14ac:dyDescent="0.3">
      <c r="A1" s="17" t="s">
        <v>16</v>
      </c>
      <c r="B1" s="5"/>
      <c r="G1" s="17" t="s">
        <v>87</v>
      </c>
      <c r="H1" s="5"/>
    </row>
    <row r="2" spans="1:10" x14ac:dyDescent="0.3">
      <c r="A2" s="2" t="s">
        <v>28</v>
      </c>
      <c r="B2" s="2" t="s">
        <v>29</v>
      </c>
      <c r="C2" s="2" t="s">
        <v>17</v>
      </c>
      <c r="D2" s="2" t="s">
        <v>30</v>
      </c>
      <c r="E2" s="2" t="s">
        <v>173</v>
      </c>
      <c r="G2" s="2" t="s">
        <v>17</v>
      </c>
      <c r="H2" s="2" t="s">
        <v>88</v>
      </c>
      <c r="I2" s="2" t="s">
        <v>18</v>
      </c>
      <c r="J2" s="6" t="s">
        <v>19</v>
      </c>
    </row>
    <row r="3" spans="1:10" x14ac:dyDescent="0.3">
      <c r="A3" s="2" t="s">
        <v>36</v>
      </c>
      <c r="B3" s="2" t="s">
        <v>160</v>
      </c>
      <c r="C3" s="2" t="s">
        <v>164</v>
      </c>
      <c r="D3" s="2" t="s">
        <v>170</v>
      </c>
      <c r="E3" s="2" t="s">
        <v>174</v>
      </c>
      <c r="G3" s="10" t="s">
        <v>134</v>
      </c>
      <c r="H3" s="2" t="s">
        <v>142</v>
      </c>
      <c r="I3" s="3">
        <v>45860</v>
      </c>
      <c r="J3" s="7" t="str">
        <f>CHOOSE(WEEKDAY(I3,1),"일요일","월요일","화요일","수요일","목요일","금요일","토요일")</f>
        <v>화요일</v>
      </c>
    </row>
    <row r="4" spans="1:10" x14ac:dyDescent="0.3">
      <c r="A4" s="2" t="s">
        <v>38</v>
      </c>
      <c r="B4" s="2" t="s">
        <v>161</v>
      </c>
      <c r="C4" s="2" t="s">
        <v>165</v>
      </c>
      <c r="D4" s="2" t="s">
        <v>31</v>
      </c>
      <c r="E4" s="2" t="s">
        <v>175</v>
      </c>
      <c r="G4" s="10" t="s">
        <v>135</v>
      </c>
      <c r="H4" s="2" t="s">
        <v>143</v>
      </c>
      <c r="I4" s="3">
        <v>45920</v>
      </c>
      <c r="J4" s="7" t="str">
        <f t="shared" ref="J4:J11" si="0">CHOOSE(WEEKDAY(I4,1),"일요일","월요일","화요일","수요일","목요일","금요일","토요일")</f>
        <v>토요일</v>
      </c>
    </row>
    <row r="5" spans="1:10" x14ac:dyDescent="0.3">
      <c r="A5" s="2" t="s">
        <v>40</v>
      </c>
      <c r="B5" s="2" t="s">
        <v>160</v>
      </c>
      <c r="C5" s="2" t="s">
        <v>166</v>
      </c>
      <c r="D5" s="2" t="s">
        <v>33</v>
      </c>
      <c r="E5" s="2" t="s">
        <v>176</v>
      </c>
      <c r="G5" s="21" t="s">
        <v>136</v>
      </c>
      <c r="H5" s="2" t="s">
        <v>144</v>
      </c>
      <c r="I5" s="3">
        <v>45940</v>
      </c>
      <c r="J5" s="7" t="str">
        <f t="shared" si="0"/>
        <v>금요일</v>
      </c>
    </row>
    <row r="6" spans="1:10" x14ac:dyDescent="0.3">
      <c r="A6" s="2" t="s">
        <v>180</v>
      </c>
      <c r="B6" s="2" t="s">
        <v>161</v>
      </c>
      <c r="C6" s="2" t="s">
        <v>167</v>
      </c>
      <c r="D6" s="2" t="s">
        <v>171</v>
      </c>
      <c r="E6" s="2" t="s">
        <v>177</v>
      </c>
      <c r="G6" s="21" t="s">
        <v>137</v>
      </c>
      <c r="H6" s="2" t="s">
        <v>145</v>
      </c>
      <c r="I6" s="3">
        <v>45973</v>
      </c>
      <c r="J6" s="7" t="str">
        <f t="shared" si="0"/>
        <v>수요일</v>
      </c>
    </row>
    <row r="7" spans="1:10" x14ac:dyDescent="0.3">
      <c r="A7" s="2" t="s">
        <v>181</v>
      </c>
      <c r="B7" s="2" t="s">
        <v>162</v>
      </c>
      <c r="C7" s="2" t="s">
        <v>168</v>
      </c>
      <c r="D7" s="2" t="s">
        <v>32</v>
      </c>
      <c r="E7" s="2" t="s">
        <v>178</v>
      </c>
      <c r="G7" s="21" t="s">
        <v>138</v>
      </c>
      <c r="H7" s="2" t="s">
        <v>146</v>
      </c>
      <c r="I7" s="3">
        <v>46004</v>
      </c>
      <c r="J7" s="7" t="str">
        <f t="shared" si="0"/>
        <v>토요일</v>
      </c>
    </row>
    <row r="8" spans="1:10" x14ac:dyDescent="0.3">
      <c r="A8" s="2" t="s">
        <v>182</v>
      </c>
      <c r="B8" s="2" t="s">
        <v>163</v>
      </c>
      <c r="C8" s="2" t="s">
        <v>169</v>
      </c>
      <c r="D8" s="2" t="s">
        <v>172</v>
      </c>
      <c r="E8" s="2" t="s">
        <v>179</v>
      </c>
      <c r="G8" s="21" t="s">
        <v>139</v>
      </c>
      <c r="H8" s="2" t="s">
        <v>147</v>
      </c>
      <c r="I8" s="3">
        <v>45909</v>
      </c>
      <c r="J8" s="7" t="str">
        <f t="shared" si="0"/>
        <v>화요일</v>
      </c>
    </row>
    <row r="9" spans="1:10" x14ac:dyDescent="0.3">
      <c r="G9" s="21" t="s">
        <v>140</v>
      </c>
      <c r="H9" s="2" t="s">
        <v>148</v>
      </c>
      <c r="I9" s="3">
        <v>45897</v>
      </c>
      <c r="J9" s="7" t="str">
        <f t="shared" si="0"/>
        <v>목요일</v>
      </c>
    </row>
    <row r="10" spans="1:10" x14ac:dyDescent="0.3">
      <c r="A10" s="2" t="s">
        <v>29</v>
      </c>
      <c r="B10" s="2" t="s">
        <v>160</v>
      </c>
      <c r="C10" s="2" t="s">
        <v>162</v>
      </c>
      <c r="D10" s="2" t="s">
        <v>163</v>
      </c>
      <c r="E10" s="2" t="s">
        <v>161</v>
      </c>
      <c r="G10" s="21" t="s">
        <v>141</v>
      </c>
      <c r="H10" s="2" t="s">
        <v>149</v>
      </c>
      <c r="I10" s="3">
        <v>45814</v>
      </c>
      <c r="J10" s="7" t="str">
        <f t="shared" si="0"/>
        <v>금요일</v>
      </c>
    </row>
    <row r="11" spans="1:10" x14ac:dyDescent="0.3">
      <c r="A11" s="6" t="s">
        <v>34</v>
      </c>
      <c r="B11" s="2" t="str">
        <f>IF(COUNTIF($B$3:$B$8,B10)&gt;=2,"우수회원","일반")</f>
        <v>우수회원</v>
      </c>
      <c r="C11" s="13" t="str">
        <f t="shared" ref="C11:E11" si="1">IF(COUNTIF($B$3:$B$8,C10)&gt;=2,"우수회원","일반")</f>
        <v>일반</v>
      </c>
      <c r="D11" s="13" t="str">
        <f t="shared" si="1"/>
        <v>일반</v>
      </c>
      <c r="E11" s="13" t="str">
        <f t="shared" si="1"/>
        <v>우수회원</v>
      </c>
      <c r="G11" s="21" t="s">
        <v>151</v>
      </c>
      <c r="H11" s="10" t="s">
        <v>150</v>
      </c>
      <c r="I11" s="3">
        <v>45761</v>
      </c>
      <c r="J11" s="7" t="str">
        <f t="shared" si="0"/>
        <v>월요일</v>
      </c>
    </row>
    <row r="13" spans="1:10" x14ac:dyDescent="0.3">
      <c r="A13" s="18" t="s">
        <v>20</v>
      </c>
      <c r="B13" s="5"/>
      <c r="G13" s="17" t="s">
        <v>25</v>
      </c>
      <c r="H13" s="5"/>
    </row>
    <row r="14" spans="1:10" x14ac:dyDescent="0.3">
      <c r="A14" s="23" t="s">
        <v>116</v>
      </c>
      <c r="B14" s="23" t="s">
        <v>27</v>
      </c>
      <c r="C14" s="23" t="s">
        <v>117</v>
      </c>
      <c r="D14" s="23" t="s">
        <v>118</v>
      </c>
      <c r="E14" s="23" t="s">
        <v>119</v>
      </c>
      <c r="G14" s="14" t="s">
        <v>104</v>
      </c>
      <c r="H14" s="14" t="s">
        <v>21</v>
      </c>
      <c r="I14" s="14" t="s">
        <v>105</v>
      </c>
      <c r="J14" s="14" t="s">
        <v>106</v>
      </c>
    </row>
    <row r="15" spans="1:10" x14ac:dyDescent="0.3">
      <c r="A15" s="21" t="s">
        <v>125</v>
      </c>
      <c r="B15" s="10" t="s">
        <v>152</v>
      </c>
      <c r="C15" s="21" t="s">
        <v>120</v>
      </c>
      <c r="D15" s="22">
        <v>98</v>
      </c>
      <c r="E15" s="22">
        <v>98</v>
      </c>
      <c r="G15" s="10" t="s">
        <v>115</v>
      </c>
      <c r="H15" s="19">
        <v>870</v>
      </c>
      <c r="I15" s="20">
        <v>31200150</v>
      </c>
      <c r="J15" s="20">
        <v>31450110</v>
      </c>
    </row>
    <row r="16" spans="1:10" x14ac:dyDescent="0.3">
      <c r="A16" s="21" t="s">
        <v>132</v>
      </c>
      <c r="B16" s="10" t="s">
        <v>153</v>
      </c>
      <c r="C16" s="21" t="s">
        <v>121</v>
      </c>
      <c r="D16" s="22">
        <v>66</v>
      </c>
      <c r="E16" s="22">
        <v>87</v>
      </c>
      <c r="G16" s="10" t="s">
        <v>107</v>
      </c>
      <c r="H16" s="19">
        <v>129</v>
      </c>
      <c r="I16" s="20">
        <v>45981000</v>
      </c>
      <c r="J16" s="20">
        <v>38746900</v>
      </c>
    </row>
    <row r="17" spans="1:10" x14ac:dyDescent="0.3">
      <c r="A17" s="21" t="s">
        <v>126</v>
      </c>
      <c r="B17" s="10" t="s">
        <v>154</v>
      </c>
      <c r="C17" s="21" t="s">
        <v>122</v>
      </c>
      <c r="D17" s="22">
        <v>70</v>
      </c>
      <c r="E17" s="22">
        <v>59</v>
      </c>
      <c r="G17" s="10" t="s">
        <v>108</v>
      </c>
      <c r="H17" s="19">
        <v>107</v>
      </c>
      <c r="I17" s="20">
        <v>43540000</v>
      </c>
      <c r="J17" s="20">
        <v>41240000</v>
      </c>
    </row>
    <row r="18" spans="1:10" x14ac:dyDescent="0.3">
      <c r="A18" s="21" t="s">
        <v>131</v>
      </c>
      <c r="B18" s="10" t="s">
        <v>155</v>
      </c>
      <c r="C18" s="21" t="s">
        <v>122</v>
      </c>
      <c r="D18" s="22">
        <v>59</v>
      </c>
      <c r="E18" s="22">
        <v>53</v>
      </c>
      <c r="G18" s="10" t="s">
        <v>109</v>
      </c>
      <c r="H18" s="19">
        <v>202</v>
      </c>
      <c r="I18" s="20">
        <v>21743220</v>
      </c>
      <c r="J18" s="20">
        <v>25453980</v>
      </c>
    </row>
    <row r="19" spans="1:10" x14ac:dyDescent="0.3">
      <c r="A19" s="21" t="s">
        <v>127</v>
      </c>
      <c r="B19" s="10" t="s">
        <v>156</v>
      </c>
      <c r="C19" s="21" t="s">
        <v>123</v>
      </c>
      <c r="D19" s="22">
        <v>87</v>
      </c>
      <c r="E19" s="22">
        <v>98</v>
      </c>
      <c r="G19" s="10" t="s">
        <v>110</v>
      </c>
      <c r="H19" s="19">
        <v>976</v>
      </c>
      <c r="I19" s="20">
        <v>94581600</v>
      </c>
      <c r="J19" s="20">
        <v>85974210</v>
      </c>
    </row>
    <row r="20" spans="1:10" x14ac:dyDescent="0.3">
      <c r="A20" s="21" t="s">
        <v>130</v>
      </c>
      <c r="B20" s="10" t="s">
        <v>157</v>
      </c>
      <c r="C20" s="21" t="s">
        <v>121</v>
      </c>
      <c r="D20" s="22">
        <v>90</v>
      </c>
      <c r="E20" s="22">
        <v>92</v>
      </c>
      <c r="G20" s="10" t="s">
        <v>114</v>
      </c>
      <c r="H20" s="19">
        <v>546</v>
      </c>
      <c r="I20" s="20">
        <v>20090000</v>
      </c>
      <c r="J20" s="20">
        <v>19864540</v>
      </c>
    </row>
    <row r="21" spans="1:10" x14ac:dyDescent="0.3">
      <c r="A21" s="21" t="s">
        <v>128</v>
      </c>
      <c r="B21" s="10" t="s">
        <v>158</v>
      </c>
      <c r="C21" s="21" t="s">
        <v>120</v>
      </c>
      <c r="D21" s="22">
        <v>64</v>
      </c>
      <c r="E21" s="22">
        <v>76</v>
      </c>
      <c r="G21" s="10" t="s">
        <v>111</v>
      </c>
      <c r="H21" s="19">
        <v>233</v>
      </c>
      <c r="I21" s="20">
        <v>16780000</v>
      </c>
      <c r="J21" s="20">
        <v>13259830</v>
      </c>
    </row>
    <row r="22" spans="1:10" x14ac:dyDescent="0.3">
      <c r="A22" s="21" t="s">
        <v>129</v>
      </c>
      <c r="B22" s="10" t="s">
        <v>159</v>
      </c>
      <c r="C22" s="21" t="s">
        <v>124</v>
      </c>
      <c r="D22" s="22">
        <v>99</v>
      </c>
      <c r="E22" s="22">
        <v>75</v>
      </c>
      <c r="G22" s="10" t="s">
        <v>112</v>
      </c>
      <c r="H22" s="19">
        <v>570</v>
      </c>
      <c r="I22" s="20">
        <v>78896450</v>
      </c>
      <c r="J22" s="20">
        <v>68794380</v>
      </c>
    </row>
    <row r="23" spans="1:10" x14ac:dyDescent="0.3">
      <c r="A23" s="32" t="s">
        <v>133</v>
      </c>
      <c r="B23" s="33"/>
      <c r="C23" s="33"/>
      <c r="D23" s="34"/>
      <c r="E23" s="10" t="str">
        <f>COUNTIFS(D15:D22,"&gt;=90",E15:E22,"&gt;=90")&amp;"명"</f>
        <v>2명</v>
      </c>
      <c r="G23" s="32" t="s">
        <v>113</v>
      </c>
      <c r="H23" s="33"/>
      <c r="I23" s="34"/>
      <c r="J23" s="4">
        <f>LARGE(J15:J22,3)-SMALL(J15:J22,2)</f>
        <v>21375460</v>
      </c>
    </row>
    <row r="25" spans="1:10" x14ac:dyDescent="0.3">
      <c r="A25" s="17" t="s">
        <v>26</v>
      </c>
      <c r="B25" s="5"/>
    </row>
    <row r="26" spans="1:10" x14ac:dyDescent="0.3">
      <c r="A26" s="10" t="s">
        <v>89</v>
      </c>
      <c r="B26" s="10" t="s">
        <v>41</v>
      </c>
      <c r="C26" s="10" t="s">
        <v>103</v>
      </c>
      <c r="D26" s="9" t="s">
        <v>22</v>
      </c>
      <c r="F26" s="8" t="s">
        <v>102</v>
      </c>
    </row>
    <row r="27" spans="1:10" x14ac:dyDescent="0.3">
      <c r="A27" s="2" t="s">
        <v>39</v>
      </c>
      <c r="B27" s="2" t="s">
        <v>94</v>
      </c>
      <c r="C27" s="2">
        <v>11</v>
      </c>
      <c r="D27" s="4">
        <f>C27*HLOOKUP(A27&amp;RIGHT(B27,1),$G$27:$J$29,3,0)</f>
        <v>8470000</v>
      </c>
      <c r="F27" s="2" t="s">
        <v>23</v>
      </c>
      <c r="G27" s="2" t="s">
        <v>90</v>
      </c>
      <c r="H27" s="2" t="s">
        <v>92</v>
      </c>
      <c r="I27" s="2" t="s">
        <v>91</v>
      </c>
      <c r="J27" s="2" t="s">
        <v>93</v>
      </c>
    </row>
    <row r="28" spans="1:10" x14ac:dyDescent="0.3">
      <c r="A28" s="2" t="s">
        <v>37</v>
      </c>
      <c r="B28" s="2" t="s">
        <v>95</v>
      </c>
      <c r="C28" s="2">
        <v>8</v>
      </c>
      <c r="D28" s="4">
        <f t="shared" ref="D28:D34" si="2">C28*HLOOKUP(A28&amp;RIGHT(B28,1),$G$27:$J$29,3,0)</f>
        <v>7440000</v>
      </c>
      <c r="F28" s="2" t="s">
        <v>42</v>
      </c>
      <c r="G28" s="4">
        <v>750000</v>
      </c>
      <c r="H28" s="4">
        <v>670000</v>
      </c>
      <c r="I28" s="4">
        <v>450000</v>
      </c>
      <c r="J28" s="4">
        <v>580000</v>
      </c>
    </row>
    <row r="29" spans="1:10" x14ac:dyDescent="0.3">
      <c r="A29" s="2" t="s">
        <v>39</v>
      </c>
      <c r="B29" s="2" t="s">
        <v>96</v>
      </c>
      <c r="C29" s="2">
        <v>6</v>
      </c>
      <c r="D29" s="4">
        <f t="shared" si="2"/>
        <v>4620000</v>
      </c>
      <c r="F29" s="2" t="s">
        <v>24</v>
      </c>
      <c r="G29" s="4">
        <v>930000</v>
      </c>
      <c r="H29" s="4">
        <v>890000</v>
      </c>
      <c r="I29" s="4">
        <v>610000</v>
      </c>
      <c r="J29" s="4">
        <v>770000</v>
      </c>
    </row>
    <row r="30" spans="1:10" x14ac:dyDescent="0.3">
      <c r="A30" s="2" t="s">
        <v>37</v>
      </c>
      <c r="B30" s="2" t="s">
        <v>97</v>
      </c>
      <c r="C30" s="2">
        <v>7</v>
      </c>
      <c r="D30" s="4">
        <f t="shared" si="2"/>
        <v>6230000</v>
      </c>
      <c r="E30" s="1"/>
    </row>
    <row r="31" spans="1:10" x14ac:dyDescent="0.3">
      <c r="A31" s="2" t="s">
        <v>37</v>
      </c>
      <c r="B31" s="2" t="s">
        <v>98</v>
      </c>
      <c r="C31" s="2">
        <v>5</v>
      </c>
      <c r="D31" s="4">
        <f t="shared" si="2"/>
        <v>4650000</v>
      </c>
    </row>
    <row r="32" spans="1:10" x14ac:dyDescent="0.3">
      <c r="A32" s="2" t="s">
        <v>39</v>
      </c>
      <c r="B32" s="2" t="s">
        <v>99</v>
      </c>
      <c r="C32" s="2">
        <v>9</v>
      </c>
      <c r="D32" s="4">
        <f t="shared" si="2"/>
        <v>5490000</v>
      </c>
    </row>
    <row r="33" spans="1:4" x14ac:dyDescent="0.3">
      <c r="A33" s="2" t="s">
        <v>39</v>
      </c>
      <c r="B33" s="2" t="s">
        <v>100</v>
      </c>
      <c r="C33" s="2">
        <v>12</v>
      </c>
      <c r="D33" s="4">
        <f t="shared" si="2"/>
        <v>9240000</v>
      </c>
    </row>
    <row r="34" spans="1:4" x14ac:dyDescent="0.3">
      <c r="A34" s="2" t="s">
        <v>37</v>
      </c>
      <c r="B34" s="2" t="s">
        <v>101</v>
      </c>
      <c r="C34" s="2">
        <v>13</v>
      </c>
      <c r="D34" s="4">
        <f t="shared" si="2"/>
        <v>12090000</v>
      </c>
    </row>
  </sheetData>
  <mergeCells count="2">
    <mergeCell ref="G23:I23"/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H33"/>
  <sheetViews>
    <sheetView topLeftCell="A2" workbookViewId="0">
      <selection activeCell="N9" sqref="N9"/>
    </sheetView>
  </sheetViews>
  <sheetFormatPr defaultRowHeight="16.5" x14ac:dyDescent="0.3"/>
  <cols>
    <col min="1" max="1" width="9.875" customWidth="1"/>
    <col min="3" max="3" width="9.875" customWidth="1"/>
    <col min="4" max="4" width="9.875" bestFit="1" customWidth="1"/>
    <col min="5" max="5" width="8.5" bestFit="1" customWidth="1"/>
    <col min="6" max="6" width="11.75" customWidth="1"/>
    <col min="7" max="8" width="8.5" bestFit="1" customWidth="1"/>
  </cols>
  <sheetData>
    <row r="1" spans="1:8" x14ac:dyDescent="0.3">
      <c r="A1" t="s">
        <v>235</v>
      </c>
      <c r="G1" s="28"/>
    </row>
    <row r="2" spans="1:8" x14ac:dyDescent="0.3">
      <c r="A2" s="56" t="s">
        <v>236</v>
      </c>
      <c r="B2" s="56" t="s">
        <v>67</v>
      </c>
      <c r="C2" s="56" t="s">
        <v>237</v>
      </c>
      <c r="D2" s="56" t="s">
        <v>238</v>
      </c>
      <c r="E2" s="56" t="s">
        <v>239</v>
      </c>
      <c r="F2" s="56" t="s">
        <v>240</v>
      </c>
      <c r="G2" s="56" t="s">
        <v>241</v>
      </c>
      <c r="H2" s="56" t="s">
        <v>242</v>
      </c>
    </row>
    <row r="3" spans="1:8" x14ac:dyDescent="0.3">
      <c r="A3" s="13" t="s">
        <v>249</v>
      </c>
      <c r="B3" s="13" t="s">
        <v>250</v>
      </c>
      <c r="C3" s="13" t="s">
        <v>251</v>
      </c>
      <c r="D3" s="29">
        <v>3700000</v>
      </c>
      <c r="E3" s="29">
        <v>280000</v>
      </c>
      <c r="F3" s="30" t="s">
        <v>252</v>
      </c>
      <c r="G3" s="29">
        <v>90000</v>
      </c>
      <c r="H3" s="29">
        <v>60000</v>
      </c>
    </row>
    <row r="4" spans="1:8" x14ac:dyDescent="0.3">
      <c r="A4" s="13" t="s">
        <v>256</v>
      </c>
      <c r="B4" s="13" t="s">
        <v>247</v>
      </c>
      <c r="C4" s="13" t="s">
        <v>257</v>
      </c>
      <c r="D4" s="29">
        <v>2900000</v>
      </c>
      <c r="E4" s="29">
        <v>280000</v>
      </c>
      <c r="F4" s="30">
        <v>2</v>
      </c>
      <c r="G4" s="29">
        <v>60000</v>
      </c>
      <c r="H4" s="29">
        <v>130000</v>
      </c>
    </row>
    <row r="5" spans="1:8" x14ac:dyDescent="0.3">
      <c r="A5" s="13" t="s">
        <v>261</v>
      </c>
      <c r="B5" s="13" t="s">
        <v>244</v>
      </c>
      <c r="C5" s="13" t="s">
        <v>251</v>
      </c>
      <c r="D5" s="29">
        <v>2200000</v>
      </c>
      <c r="E5" s="29">
        <v>446000</v>
      </c>
      <c r="F5" s="30">
        <v>5</v>
      </c>
      <c r="G5" s="29">
        <v>100000</v>
      </c>
      <c r="H5" s="29">
        <v>50000</v>
      </c>
    </row>
    <row r="6" spans="1:8" x14ac:dyDescent="0.3">
      <c r="A6" s="13" t="s">
        <v>270</v>
      </c>
      <c r="B6" s="13" t="s">
        <v>254</v>
      </c>
      <c r="C6" s="13" t="s">
        <v>251</v>
      </c>
      <c r="D6" s="29">
        <v>2500000</v>
      </c>
      <c r="E6" s="29">
        <v>200000</v>
      </c>
      <c r="F6" s="30">
        <v>7</v>
      </c>
      <c r="G6" s="29">
        <v>60000</v>
      </c>
      <c r="H6" s="29">
        <v>100000</v>
      </c>
    </row>
    <row r="7" spans="1:8" x14ac:dyDescent="0.3">
      <c r="A7" s="13"/>
      <c r="B7" s="13"/>
      <c r="C7" s="51" t="s">
        <v>283</v>
      </c>
      <c r="D7" s="29">
        <f>SUBTOTAL(5,D3:D6)</f>
        <v>2200000</v>
      </c>
      <c r="E7" s="29">
        <f>SUBTOTAL(5,E3:E6)</f>
        <v>200000</v>
      </c>
      <c r="F7" s="30"/>
      <c r="G7" s="29">
        <f>SUBTOTAL(5,G3:G6)</f>
        <v>60000</v>
      </c>
      <c r="H7" s="29">
        <f>SUBTOTAL(5,H3:H6)</f>
        <v>50000</v>
      </c>
    </row>
    <row r="8" spans="1:8" x14ac:dyDescent="0.3">
      <c r="A8" s="13"/>
      <c r="B8" s="13"/>
      <c r="C8" s="51" t="s">
        <v>278</v>
      </c>
      <c r="D8" s="29">
        <f>SUBTOTAL(4,D3:D6)</f>
        <v>3700000</v>
      </c>
      <c r="E8" s="29">
        <f>SUBTOTAL(4,E3:E6)</f>
        <v>446000</v>
      </c>
      <c r="F8" s="30"/>
      <c r="G8" s="29">
        <f>SUBTOTAL(4,G3:G6)</f>
        <v>100000</v>
      </c>
      <c r="H8" s="29">
        <f>SUBTOTAL(4,H3:H6)</f>
        <v>130000</v>
      </c>
    </row>
    <row r="9" spans="1:8" x14ac:dyDescent="0.3">
      <c r="A9" s="13" t="s">
        <v>243</v>
      </c>
      <c r="B9" s="13" t="s">
        <v>244</v>
      </c>
      <c r="C9" s="13" t="s">
        <v>245</v>
      </c>
      <c r="D9" s="29">
        <v>2300000</v>
      </c>
      <c r="E9" s="29">
        <v>228000</v>
      </c>
      <c r="F9" s="30">
        <v>2</v>
      </c>
      <c r="G9" s="29">
        <v>90000</v>
      </c>
      <c r="H9" s="29">
        <v>100000</v>
      </c>
    </row>
    <row r="10" spans="1:8" x14ac:dyDescent="0.3">
      <c r="A10" s="13" t="s">
        <v>262</v>
      </c>
      <c r="B10" s="13" t="s">
        <v>254</v>
      </c>
      <c r="C10" s="13" t="s">
        <v>245</v>
      </c>
      <c r="D10" s="29">
        <v>3600000</v>
      </c>
      <c r="E10" s="29">
        <v>228000</v>
      </c>
      <c r="F10" s="30">
        <v>2</v>
      </c>
      <c r="G10" s="29">
        <v>150000</v>
      </c>
      <c r="H10" s="29">
        <v>80000</v>
      </c>
    </row>
    <row r="11" spans="1:8" x14ac:dyDescent="0.3">
      <c r="A11" s="13" t="s">
        <v>263</v>
      </c>
      <c r="B11" s="13" t="s">
        <v>244</v>
      </c>
      <c r="C11" s="13" t="s">
        <v>245</v>
      </c>
      <c r="D11" s="29">
        <v>2900000</v>
      </c>
      <c r="E11" s="29">
        <v>260000</v>
      </c>
      <c r="F11" s="30">
        <v>6</v>
      </c>
      <c r="G11" s="29">
        <v>90000</v>
      </c>
      <c r="H11" s="29">
        <v>70000</v>
      </c>
    </row>
    <row r="12" spans="1:8" x14ac:dyDescent="0.3">
      <c r="A12" s="13" t="s">
        <v>267</v>
      </c>
      <c r="B12" s="13" t="s">
        <v>254</v>
      </c>
      <c r="C12" s="13" t="s">
        <v>245</v>
      </c>
      <c r="D12" s="29">
        <v>3600000</v>
      </c>
      <c r="E12" s="29">
        <v>428000</v>
      </c>
      <c r="F12" s="30">
        <v>2</v>
      </c>
      <c r="G12" s="29">
        <v>90000</v>
      </c>
      <c r="H12" s="49">
        <v>110000</v>
      </c>
    </row>
    <row r="13" spans="1:8" x14ac:dyDescent="0.3">
      <c r="A13" s="13" t="s">
        <v>275</v>
      </c>
      <c r="B13" s="13" t="s">
        <v>247</v>
      </c>
      <c r="C13" s="13" t="s">
        <v>245</v>
      </c>
      <c r="D13" s="29">
        <v>2400000</v>
      </c>
      <c r="E13" s="29">
        <v>420000</v>
      </c>
      <c r="F13" s="30">
        <v>4</v>
      </c>
      <c r="G13" s="29">
        <v>100000</v>
      </c>
      <c r="H13" s="29">
        <v>120000</v>
      </c>
    </row>
    <row r="14" spans="1:8" x14ac:dyDescent="0.3">
      <c r="A14" s="13"/>
      <c r="B14" s="13"/>
      <c r="C14" s="51" t="s">
        <v>284</v>
      </c>
      <c r="D14" s="29">
        <f>SUBTOTAL(5,D9:D13)</f>
        <v>2300000</v>
      </c>
      <c r="E14" s="29">
        <f>SUBTOTAL(5,E9:E13)</f>
        <v>228000</v>
      </c>
      <c r="F14" s="30"/>
      <c r="G14" s="29">
        <f>SUBTOTAL(5,G9:G13)</f>
        <v>90000</v>
      </c>
      <c r="H14" s="29">
        <f>SUBTOTAL(5,H9:H13)</f>
        <v>70000</v>
      </c>
    </row>
    <row r="15" spans="1:8" x14ac:dyDescent="0.3">
      <c r="A15" s="13"/>
      <c r="B15" s="13"/>
      <c r="C15" s="51" t="s">
        <v>279</v>
      </c>
      <c r="D15" s="29">
        <f>SUBTOTAL(4,D9:D13)</f>
        <v>3600000</v>
      </c>
      <c r="E15" s="29">
        <f>SUBTOTAL(4,E9:E13)</f>
        <v>428000</v>
      </c>
      <c r="F15" s="30"/>
      <c r="G15" s="29">
        <f>SUBTOTAL(4,G9:G13)</f>
        <v>150000</v>
      </c>
      <c r="H15" s="29">
        <f>SUBTOTAL(4,H9:H13)</f>
        <v>120000</v>
      </c>
    </row>
    <row r="16" spans="1:8" x14ac:dyDescent="0.3">
      <c r="A16" s="13" t="s">
        <v>258</v>
      </c>
      <c r="B16" s="13" t="s">
        <v>259</v>
      </c>
      <c r="C16" s="13" t="s">
        <v>260</v>
      </c>
      <c r="D16" s="29">
        <v>3600000</v>
      </c>
      <c r="E16" s="29">
        <v>200000</v>
      </c>
      <c r="F16" s="30" t="s">
        <v>252</v>
      </c>
      <c r="G16" s="29">
        <v>140000</v>
      </c>
      <c r="H16" s="29">
        <v>50000</v>
      </c>
    </row>
    <row r="17" spans="1:8" x14ac:dyDescent="0.3">
      <c r="A17" s="13" t="s">
        <v>264</v>
      </c>
      <c r="B17" s="13" t="s">
        <v>254</v>
      </c>
      <c r="C17" s="13" t="s">
        <v>260</v>
      </c>
      <c r="D17" s="29">
        <v>1600000</v>
      </c>
      <c r="E17" s="29">
        <v>246000</v>
      </c>
      <c r="F17" s="30" t="s">
        <v>252</v>
      </c>
      <c r="G17" s="29">
        <v>150000</v>
      </c>
      <c r="H17" s="29">
        <v>90000</v>
      </c>
    </row>
    <row r="18" spans="1:8" x14ac:dyDescent="0.3">
      <c r="A18" s="13" t="s">
        <v>265</v>
      </c>
      <c r="B18" s="13" t="s">
        <v>244</v>
      </c>
      <c r="C18" s="13" t="s">
        <v>260</v>
      </c>
      <c r="D18" s="29">
        <v>2000000</v>
      </c>
      <c r="E18" s="29">
        <v>228000</v>
      </c>
      <c r="F18" s="30">
        <v>5</v>
      </c>
      <c r="G18" s="29">
        <v>70000</v>
      </c>
      <c r="H18" s="29">
        <v>50000</v>
      </c>
    </row>
    <row r="19" spans="1:8" x14ac:dyDescent="0.3">
      <c r="A19" s="13" t="s">
        <v>266</v>
      </c>
      <c r="B19" s="13" t="s">
        <v>254</v>
      </c>
      <c r="C19" s="13" t="s">
        <v>260</v>
      </c>
      <c r="D19" s="29">
        <v>1700000</v>
      </c>
      <c r="E19" s="29">
        <v>440000</v>
      </c>
      <c r="F19" s="30">
        <v>3</v>
      </c>
      <c r="G19" s="29">
        <v>90000</v>
      </c>
      <c r="H19" s="50">
        <v>130000</v>
      </c>
    </row>
    <row r="20" spans="1:8" x14ac:dyDescent="0.3">
      <c r="A20" s="13" t="s">
        <v>269</v>
      </c>
      <c r="B20" s="13" t="s">
        <v>250</v>
      </c>
      <c r="C20" s="13" t="s">
        <v>260</v>
      </c>
      <c r="D20" s="29">
        <v>3300000</v>
      </c>
      <c r="E20" s="29">
        <v>220000</v>
      </c>
      <c r="F20" s="30">
        <v>8</v>
      </c>
      <c r="G20" s="29">
        <v>150000</v>
      </c>
      <c r="H20" s="29">
        <v>130000</v>
      </c>
    </row>
    <row r="21" spans="1:8" x14ac:dyDescent="0.3">
      <c r="A21" s="13" t="s">
        <v>273</v>
      </c>
      <c r="B21" s="13" t="s">
        <v>244</v>
      </c>
      <c r="C21" s="13" t="s">
        <v>260</v>
      </c>
      <c r="D21" s="29">
        <v>2900000</v>
      </c>
      <c r="E21" s="29">
        <v>380000</v>
      </c>
      <c r="F21" s="30">
        <v>6</v>
      </c>
      <c r="G21" s="29">
        <v>90000</v>
      </c>
      <c r="H21" s="29">
        <v>140000</v>
      </c>
    </row>
    <row r="22" spans="1:8" x14ac:dyDescent="0.3">
      <c r="A22" s="13" t="s">
        <v>274</v>
      </c>
      <c r="B22" s="13" t="s">
        <v>244</v>
      </c>
      <c r="C22" s="13" t="s">
        <v>260</v>
      </c>
      <c r="D22" s="29">
        <v>2900000</v>
      </c>
      <c r="E22" s="29">
        <v>370000</v>
      </c>
      <c r="F22" s="30">
        <v>2</v>
      </c>
      <c r="G22" s="29">
        <v>150000</v>
      </c>
      <c r="H22" s="29">
        <v>130000</v>
      </c>
    </row>
    <row r="23" spans="1:8" x14ac:dyDescent="0.3">
      <c r="A23" s="13"/>
      <c r="B23" s="13"/>
      <c r="C23" s="51" t="s">
        <v>285</v>
      </c>
      <c r="D23" s="29">
        <f>SUBTOTAL(5,D16:D22)</f>
        <v>1600000</v>
      </c>
      <c r="E23" s="29">
        <f>SUBTOTAL(5,E16:E22)</f>
        <v>200000</v>
      </c>
      <c r="F23" s="30"/>
      <c r="G23" s="29">
        <f>SUBTOTAL(5,G16:G22)</f>
        <v>70000</v>
      </c>
      <c r="H23" s="29">
        <f>SUBTOTAL(5,H16:H22)</f>
        <v>50000</v>
      </c>
    </row>
    <row r="24" spans="1:8" x14ac:dyDescent="0.3">
      <c r="A24" s="13"/>
      <c r="B24" s="13"/>
      <c r="C24" s="51" t="s">
        <v>280</v>
      </c>
      <c r="D24" s="29">
        <f>SUBTOTAL(4,D16:D22)</f>
        <v>3600000</v>
      </c>
      <c r="E24" s="29">
        <f>SUBTOTAL(4,E16:E22)</f>
        <v>440000</v>
      </c>
      <c r="F24" s="30"/>
      <c r="G24" s="29">
        <f>SUBTOTAL(4,G16:G22)</f>
        <v>150000</v>
      </c>
      <c r="H24" s="29">
        <f>SUBTOTAL(4,H16:H22)</f>
        <v>140000</v>
      </c>
    </row>
    <row r="25" spans="1:8" x14ac:dyDescent="0.3">
      <c r="A25" s="13" t="s">
        <v>246</v>
      </c>
      <c r="B25" s="13" t="s">
        <v>247</v>
      </c>
      <c r="C25" s="13" t="s">
        <v>248</v>
      </c>
      <c r="D25" s="29">
        <v>3300000</v>
      </c>
      <c r="E25" s="29">
        <v>460000</v>
      </c>
      <c r="F25" s="30">
        <v>3</v>
      </c>
      <c r="G25" s="29">
        <v>120000</v>
      </c>
      <c r="H25" s="29">
        <v>120000</v>
      </c>
    </row>
    <row r="26" spans="1:8" x14ac:dyDescent="0.3">
      <c r="A26" s="13" t="s">
        <v>253</v>
      </c>
      <c r="B26" s="13" t="s">
        <v>254</v>
      </c>
      <c r="C26" s="13" t="s">
        <v>255</v>
      </c>
      <c r="D26" s="29">
        <v>2300000</v>
      </c>
      <c r="E26" s="29">
        <v>240000</v>
      </c>
      <c r="F26" s="30">
        <v>4</v>
      </c>
      <c r="G26" s="29">
        <v>150000</v>
      </c>
      <c r="H26" s="29">
        <v>60000</v>
      </c>
    </row>
    <row r="27" spans="1:8" x14ac:dyDescent="0.3">
      <c r="A27" s="13" t="s">
        <v>268</v>
      </c>
      <c r="B27" s="13" t="s">
        <v>254</v>
      </c>
      <c r="C27" s="13" t="s">
        <v>255</v>
      </c>
      <c r="D27" s="29">
        <v>1600000</v>
      </c>
      <c r="E27" s="29">
        <v>228000</v>
      </c>
      <c r="F27" s="30" t="s">
        <v>252</v>
      </c>
      <c r="G27" s="29">
        <v>90000</v>
      </c>
      <c r="H27" s="29">
        <v>120000</v>
      </c>
    </row>
    <row r="28" spans="1:8" x14ac:dyDescent="0.3">
      <c r="A28" s="13" t="s">
        <v>271</v>
      </c>
      <c r="B28" s="13" t="s">
        <v>247</v>
      </c>
      <c r="C28" s="13" t="s">
        <v>255</v>
      </c>
      <c r="D28" s="29">
        <v>1900000</v>
      </c>
      <c r="E28" s="29">
        <v>270000</v>
      </c>
      <c r="F28" s="30" t="s">
        <v>252</v>
      </c>
      <c r="G28" s="29">
        <v>100000</v>
      </c>
      <c r="H28" s="29">
        <v>100000</v>
      </c>
    </row>
    <row r="29" spans="1:8" x14ac:dyDescent="0.3">
      <c r="A29" s="13" t="s">
        <v>272</v>
      </c>
      <c r="B29" s="13" t="s">
        <v>247</v>
      </c>
      <c r="C29" s="13" t="s">
        <v>255</v>
      </c>
      <c r="D29" s="29">
        <v>2800000</v>
      </c>
      <c r="E29" s="29">
        <v>420000</v>
      </c>
      <c r="F29" s="30">
        <v>3</v>
      </c>
      <c r="G29" s="29">
        <v>150000</v>
      </c>
      <c r="H29" s="29">
        <v>60000</v>
      </c>
    </row>
    <row r="30" spans="1:8" x14ac:dyDescent="0.3">
      <c r="A30" s="52"/>
      <c r="B30" s="52"/>
      <c r="C30" s="55" t="s">
        <v>286</v>
      </c>
      <c r="D30" s="53">
        <f>SUBTOTAL(5,D25:D29)</f>
        <v>1600000</v>
      </c>
      <c r="E30" s="53">
        <f>SUBTOTAL(5,E25:E29)</f>
        <v>228000</v>
      </c>
      <c r="F30" s="54"/>
      <c r="G30" s="53">
        <f>SUBTOTAL(5,G25:G29)</f>
        <v>90000</v>
      </c>
      <c r="H30" s="53">
        <f>SUBTOTAL(5,H25:H29)</f>
        <v>60000</v>
      </c>
    </row>
    <row r="31" spans="1:8" x14ac:dyDescent="0.3">
      <c r="A31" s="52"/>
      <c r="B31" s="52"/>
      <c r="C31" s="55" t="s">
        <v>281</v>
      </c>
      <c r="D31" s="53">
        <f>SUBTOTAL(4,D25:D29)</f>
        <v>3300000</v>
      </c>
      <c r="E31" s="53">
        <f>SUBTOTAL(4,E25:E29)</f>
        <v>460000</v>
      </c>
      <c r="F31" s="54"/>
      <c r="G31" s="53">
        <f>SUBTOTAL(4,G25:G29)</f>
        <v>150000</v>
      </c>
      <c r="H31" s="53">
        <f>SUBTOTAL(4,H25:H29)</f>
        <v>120000</v>
      </c>
    </row>
    <row r="32" spans="1:8" x14ac:dyDescent="0.3">
      <c r="A32" s="52"/>
      <c r="B32" s="52"/>
      <c r="C32" s="55" t="s">
        <v>287</v>
      </c>
      <c r="D32" s="53">
        <f>SUBTOTAL(5,D3:D29)</f>
        <v>1600000</v>
      </c>
      <c r="E32" s="53">
        <f>SUBTOTAL(5,E3:E29)</f>
        <v>200000</v>
      </c>
      <c r="F32" s="54"/>
      <c r="G32" s="53">
        <f>SUBTOTAL(5,G3:G29)</f>
        <v>60000</v>
      </c>
      <c r="H32" s="53">
        <f>SUBTOTAL(5,H3:H29)</f>
        <v>50000</v>
      </c>
    </row>
    <row r="33" spans="1:8" x14ac:dyDescent="0.3">
      <c r="A33" s="52"/>
      <c r="B33" s="52"/>
      <c r="C33" s="55" t="s">
        <v>282</v>
      </c>
      <c r="D33" s="53">
        <f>SUBTOTAL(4,D3:D29)</f>
        <v>3700000</v>
      </c>
      <c r="E33" s="53">
        <f>SUBTOTAL(4,E3:E29)</f>
        <v>460000</v>
      </c>
      <c r="F33" s="54"/>
      <c r="G33" s="53">
        <f>SUBTOTAL(4,G3:G29)</f>
        <v>150000</v>
      </c>
      <c r="H33" s="53">
        <f>SUBTOTAL(4,H3:H29)</f>
        <v>140000</v>
      </c>
    </row>
  </sheetData>
  <sortState xmlns:xlrd2="http://schemas.microsoft.com/office/spreadsheetml/2017/richdata2" ref="A3:H29">
    <sortCondition ref="C2:C29"/>
  </sortState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34"/>
  <sheetViews>
    <sheetView topLeftCell="A10" workbookViewId="0">
      <selection activeCell="D23" sqref="D23:D34"/>
      <pivotSelection pane="bottomRight" showHeader="1" extendable="1" axis="axisCol" start="2" max="3" activeRow="22" activeCol="3" previousRow="22" previousCol="3" click="1" r:id="rId1">
        <pivotArea dataOnly="0" outline="0" fieldPosition="0">
          <references count="1">
            <reference field="2" count="1">
              <x v="2"/>
            </reference>
          </references>
        </pivotArea>
      </pivotSelection>
    </sheetView>
  </sheetViews>
  <sheetFormatPr defaultRowHeight="16.5" x14ac:dyDescent="0.3"/>
  <cols>
    <col min="1" max="1" width="20.125" bestFit="1" customWidth="1"/>
    <col min="2" max="2" width="11.875" bestFit="1" customWidth="1"/>
    <col min="3" max="3" width="14.5" bestFit="1" customWidth="1"/>
    <col min="4" max="4" width="9.625" bestFit="1" customWidth="1"/>
    <col min="5" max="5" width="14.5" bestFit="1" customWidth="1"/>
    <col min="6" max="7" width="15.25" bestFit="1" customWidth="1"/>
    <col min="8" max="9" width="20.125" bestFit="1" customWidth="1"/>
  </cols>
  <sheetData>
    <row r="1" spans="1:8" x14ac:dyDescent="0.3">
      <c r="A1" s="35" t="s">
        <v>183</v>
      </c>
      <c r="B1" s="35"/>
      <c r="C1" s="35"/>
      <c r="D1" s="35"/>
      <c r="E1" s="35"/>
      <c r="F1" s="35"/>
      <c r="G1" s="35"/>
      <c r="H1" s="35"/>
    </row>
    <row r="2" spans="1:8" ht="17.25" thickBot="1" x14ac:dyDescent="0.35">
      <c r="A2" s="24"/>
      <c r="B2" s="24"/>
      <c r="C2" s="24"/>
      <c r="D2" s="24"/>
      <c r="E2" s="24"/>
      <c r="F2" s="24"/>
      <c r="G2" s="24"/>
    </row>
    <row r="3" spans="1:8" x14ac:dyDescent="0.3">
      <c r="A3" s="25" t="s">
        <v>184</v>
      </c>
      <c r="B3" s="25" t="s">
        <v>185</v>
      </c>
      <c r="C3" s="25" t="s">
        <v>211</v>
      </c>
      <c r="D3" s="25" t="s">
        <v>186</v>
      </c>
      <c r="E3" s="25" t="s">
        <v>187</v>
      </c>
      <c r="F3" s="25" t="s">
        <v>188</v>
      </c>
      <c r="G3" s="25" t="s">
        <v>189</v>
      </c>
      <c r="H3" s="25" t="s">
        <v>190</v>
      </c>
    </row>
    <row r="4" spans="1:8" x14ac:dyDescent="0.3">
      <c r="A4" s="24" t="s">
        <v>191</v>
      </c>
      <c r="B4" s="24" t="s">
        <v>192</v>
      </c>
      <c r="C4" s="24" t="s">
        <v>213</v>
      </c>
      <c r="D4" s="24" t="s">
        <v>193</v>
      </c>
      <c r="E4" s="26">
        <v>3000000</v>
      </c>
      <c r="F4" s="27">
        <v>1500000</v>
      </c>
      <c r="G4" s="27">
        <v>425000</v>
      </c>
      <c r="H4" s="27">
        <f>SUM(E4:G4)</f>
        <v>4925000</v>
      </c>
    </row>
    <row r="5" spans="1:8" x14ac:dyDescent="0.3">
      <c r="A5" s="24" t="s">
        <v>194</v>
      </c>
      <c r="B5" s="24" t="s">
        <v>195</v>
      </c>
      <c r="C5" s="24" t="s">
        <v>212</v>
      </c>
      <c r="D5" s="24" t="s">
        <v>196</v>
      </c>
      <c r="E5" s="26">
        <v>2700000</v>
      </c>
      <c r="F5" s="27">
        <v>1305000</v>
      </c>
      <c r="G5" s="27">
        <v>485000</v>
      </c>
      <c r="H5" s="27">
        <f t="shared" ref="H5:H17" si="0">SUM(E5:G5)</f>
        <v>4490000</v>
      </c>
    </row>
    <row r="6" spans="1:8" x14ac:dyDescent="0.3">
      <c r="A6" s="24" t="s">
        <v>191</v>
      </c>
      <c r="B6" s="24" t="s">
        <v>195</v>
      </c>
      <c r="C6" s="24" t="s">
        <v>212</v>
      </c>
      <c r="D6" s="24" t="s">
        <v>197</v>
      </c>
      <c r="E6" s="26">
        <v>3000000</v>
      </c>
      <c r="F6" s="27">
        <v>1500000</v>
      </c>
      <c r="G6" s="27">
        <v>846000</v>
      </c>
      <c r="H6" s="27">
        <f t="shared" si="0"/>
        <v>5346000</v>
      </c>
    </row>
    <row r="7" spans="1:8" x14ac:dyDescent="0.3">
      <c r="A7" s="24" t="s">
        <v>198</v>
      </c>
      <c r="B7" s="24" t="s">
        <v>192</v>
      </c>
      <c r="C7" s="24" t="s">
        <v>213</v>
      </c>
      <c r="D7" s="24" t="s">
        <v>199</v>
      </c>
      <c r="E7" s="26">
        <v>2200000</v>
      </c>
      <c r="F7" s="27">
        <v>980000</v>
      </c>
      <c r="G7" s="27">
        <v>375000</v>
      </c>
      <c r="H7" s="27">
        <f t="shared" si="0"/>
        <v>3555000</v>
      </c>
    </row>
    <row r="8" spans="1:8" x14ac:dyDescent="0.3">
      <c r="A8" s="24" t="s">
        <v>198</v>
      </c>
      <c r="B8" s="24" t="s">
        <v>200</v>
      </c>
      <c r="C8" s="24" t="s">
        <v>214</v>
      </c>
      <c r="D8" s="24" t="s">
        <v>201</v>
      </c>
      <c r="E8" s="26">
        <v>2200000</v>
      </c>
      <c r="F8" s="27">
        <v>780000</v>
      </c>
      <c r="G8" s="27">
        <v>300000</v>
      </c>
      <c r="H8" s="27">
        <f t="shared" si="0"/>
        <v>3280000</v>
      </c>
    </row>
    <row r="9" spans="1:8" x14ac:dyDescent="0.3">
      <c r="A9" s="24" t="s">
        <v>191</v>
      </c>
      <c r="B9" s="24" t="s">
        <v>200</v>
      </c>
      <c r="C9" s="24" t="s">
        <v>214</v>
      </c>
      <c r="D9" s="24" t="s">
        <v>202</v>
      </c>
      <c r="E9" s="26">
        <v>3000000</v>
      </c>
      <c r="F9" s="27">
        <v>1500000</v>
      </c>
      <c r="G9" s="27">
        <v>1500000</v>
      </c>
      <c r="H9" s="27">
        <f t="shared" si="0"/>
        <v>6000000</v>
      </c>
    </row>
    <row r="10" spans="1:8" x14ac:dyDescent="0.3">
      <c r="A10" s="24" t="s">
        <v>194</v>
      </c>
      <c r="B10" s="24" t="s">
        <v>192</v>
      </c>
      <c r="C10" s="24" t="s">
        <v>214</v>
      </c>
      <c r="D10" s="24" t="s">
        <v>203</v>
      </c>
      <c r="E10" s="26">
        <v>2700000</v>
      </c>
      <c r="F10" s="27">
        <v>1305000</v>
      </c>
      <c r="G10" s="27">
        <v>626000</v>
      </c>
      <c r="H10" s="27">
        <f t="shared" si="0"/>
        <v>4631000</v>
      </c>
    </row>
    <row r="11" spans="1:8" x14ac:dyDescent="0.3">
      <c r="A11" s="24" t="s">
        <v>198</v>
      </c>
      <c r="B11" s="24" t="s">
        <v>195</v>
      </c>
      <c r="C11" s="24" t="s">
        <v>212</v>
      </c>
      <c r="D11" s="24" t="s">
        <v>204</v>
      </c>
      <c r="E11" s="26">
        <v>2200000</v>
      </c>
      <c r="F11" s="27">
        <v>980000</v>
      </c>
      <c r="G11" s="27">
        <v>739000</v>
      </c>
      <c r="H11" s="27">
        <f t="shared" si="0"/>
        <v>3919000</v>
      </c>
    </row>
    <row r="12" spans="1:8" x14ac:dyDescent="0.3">
      <c r="A12" s="24" t="s">
        <v>194</v>
      </c>
      <c r="B12" s="24" t="s">
        <v>200</v>
      </c>
      <c r="C12" s="24" t="s">
        <v>213</v>
      </c>
      <c r="D12" s="24" t="s">
        <v>205</v>
      </c>
      <c r="E12" s="26">
        <v>2700000</v>
      </c>
      <c r="F12" s="27">
        <v>1305000</v>
      </c>
      <c r="G12" s="27">
        <v>302000</v>
      </c>
      <c r="H12" s="27">
        <f t="shared" si="0"/>
        <v>4307000</v>
      </c>
    </row>
    <row r="13" spans="1:8" x14ac:dyDescent="0.3">
      <c r="A13" s="24" t="s">
        <v>191</v>
      </c>
      <c r="B13" s="24" t="s">
        <v>192</v>
      </c>
      <c r="C13" s="24" t="s">
        <v>212</v>
      </c>
      <c r="D13" s="24" t="s">
        <v>206</v>
      </c>
      <c r="E13" s="26">
        <v>3000000</v>
      </c>
      <c r="F13" s="27">
        <v>1500000</v>
      </c>
      <c r="G13" s="27">
        <v>571000</v>
      </c>
      <c r="H13" s="27">
        <f t="shared" si="0"/>
        <v>5071000</v>
      </c>
    </row>
    <row r="14" spans="1:8" x14ac:dyDescent="0.3">
      <c r="A14" s="24" t="s">
        <v>194</v>
      </c>
      <c r="B14" s="24" t="s">
        <v>200</v>
      </c>
      <c r="C14" s="24" t="s">
        <v>213</v>
      </c>
      <c r="D14" s="24" t="s">
        <v>207</v>
      </c>
      <c r="E14" s="26">
        <v>2700000</v>
      </c>
      <c r="F14" s="27">
        <v>1305000</v>
      </c>
      <c r="G14" s="27">
        <v>812100</v>
      </c>
      <c r="H14" s="27">
        <f t="shared" si="0"/>
        <v>4817100</v>
      </c>
    </row>
    <row r="15" spans="1:8" x14ac:dyDescent="0.3">
      <c r="A15" s="24" t="s">
        <v>194</v>
      </c>
      <c r="B15" s="24" t="s">
        <v>195</v>
      </c>
      <c r="C15" s="24" t="s">
        <v>212</v>
      </c>
      <c r="D15" s="24" t="s">
        <v>208</v>
      </c>
      <c r="E15" s="26">
        <v>2700000</v>
      </c>
      <c r="F15" s="27">
        <v>1305000</v>
      </c>
      <c r="G15" s="27">
        <v>1350000</v>
      </c>
      <c r="H15" s="27">
        <f t="shared" si="0"/>
        <v>5355000</v>
      </c>
    </row>
    <row r="16" spans="1:8" x14ac:dyDescent="0.3">
      <c r="A16" s="24" t="s">
        <v>191</v>
      </c>
      <c r="B16" s="24" t="s">
        <v>192</v>
      </c>
      <c r="C16" s="24" t="s">
        <v>212</v>
      </c>
      <c r="D16" s="24" t="s">
        <v>209</v>
      </c>
      <c r="E16" s="26">
        <v>3000000</v>
      </c>
      <c r="F16" s="27">
        <v>1500000</v>
      </c>
      <c r="G16" s="27">
        <v>2177000</v>
      </c>
      <c r="H16" s="27">
        <f t="shared" si="0"/>
        <v>6677000</v>
      </c>
    </row>
    <row r="17" spans="1:8" x14ac:dyDescent="0.3">
      <c r="A17" s="24" t="s">
        <v>198</v>
      </c>
      <c r="B17" s="24" t="s">
        <v>200</v>
      </c>
      <c r="C17" s="24" t="s">
        <v>213</v>
      </c>
      <c r="D17" s="24" t="s">
        <v>210</v>
      </c>
      <c r="E17" s="26">
        <v>2200000</v>
      </c>
      <c r="F17" s="27">
        <v>980000</v>
      </c>
      <c r="G17" s="27">
        <v>371500</v>
      </c>
      <c r="H17" s="27">
        <f t="shared" si="0"/>
        <v>3551500</v>
      </c>
    </row>
    <row r="20" spans="1:8" x14ac:dyDescent="0.3">
      <c r="A20" s="57" t="s">
        <v>289</v>
      </c>
      <c r="B20" t="s">
        <v>290</v>
      </c>
    </row>
    <row r="22" spans="1:8" x14ac:dyDescent="0.3">
      <c r="B22" s="57" t="s">
        <v>295</v>
      </c>
    </row>
    <row r="23" spans="1:8" x14ac:dyDescent="0.3">
      <c r="A23" s="57" t="s">
        <v>288</v>
      </c>
      <c r="B23" t="s">
        <v>293</v>
      </c>
      <c r="C23" t="s">
        <v>260</v>
      </c>
      <c r="D23" t="s">
        <v>294</v>
      </c>
    </row>
    <row r="24" spans="1:8" x14ac:dyDescent="0.3">
      <c r="A24" s="8" t="s">
        <v>291</v>
      </c>
      <c r="B24" s="59"/>
      <c r="C24" s="59"/>
      <c r="D24" s="59"/>
    </row>
    <row r="25" spans="1:8" x14ac:dyDescent="0.3">
      <c r="A25" s="58" t="s">
        <v>297</v>
      </c>
      <c r="B25" s="59">
        <v>400000</v>
      </c>
      <c r="C25" s="59">
        <v>626000</v>
      </c>
      <c r="D25" s="59">
        <v>1374000</v>
      </c>
    </row>
    <row r="26" spans="1:8" x14ac:dyDescent="0.3">
      <c r="A26" s="58" t="s">
        <v>299</v>
      </c>
      <c r="B26" s="59">
        <v>4240000</v>
      </c>
      <c r="C26" s="59">
        <v>4631000</v>
      </c>
      <c r="D26" s="59">
        <v>5874000</v>
      </c>
    </row>
    <row r="27" spans="1:8" x14ac:dyDescent="0.3">
      <c r="A27" s="8" t="s">
        <v>200</v>
      </c>
      <c r="B27" s="59"/>
      <c r="C27" s="59"/>
      <c r="D27" s="59"/>
    </row>
    <row r="28" spans="1:8" x14ac:dyDescent="0.3">
      <c r="A28" s="58" t="s">
        <v>297</v>
      </c>
      <c r="B28" s="59">
        <v>495200</v>
      </c>
      <c r="C28" s="59">
        <v>900000</v>
      </c>
      <c r="D28" s="59"/>
    </row>
    <row r="29" spans="1:8" x14ac:dyDescent="0.3">
      <c r="A29" s="58" t="s">
        <v>299</v>
      </c>
      <c r="B29" s="59">
        <v>4225200</v>
      </c>
      <c r="C29" s="59">
        <v>4640000</v>
      </c>
      <c r="D29" s="59"/>
    </row>
    <row r="30" spans="1:8" x14ac:dyDescent="0.3">
      <c r="A30" s="8" t="s">
        <v>292</v>
      </c>
      <c r="B30" s="59"/>
      <c r="C30" s="59"/>
      <c r="D30" s="59"/>
    </row>
    <row r="31" spans="1:8" x14ac:dyDescent="0.3">
      <c r="A31" s="58" t="s">
        <v>297</v>
      </c>
      <c r="B31" s="59"/>
      <c r="C31" s="59"/>
      <c r="D31" s="59">
        <v>855000</v>
      </c>
    </row>
    <row r="32" spans="1:8" x14ac:dyDescent="0.3">
      <c r="A32" s="58" t="s">
        <v>299</v>
      </c>
      <c r="B32" s="59"/>
      <c r="C32" s="59"/>
      <c r="D32" s="59">
        <v>4777500</v>
      </c>
    </row>
    <row r="33" spans="1:4" x14ac:dyDescent="0.3">
      <c r="A33" s="8" t="s">
        <v>296</v>
      </c>
      <c r="B33" s="59">
        <v>457120</v>
      </c>
      <c r="C33" s="59">
        <v>808666.66666666663</v>
      </c>
      <c r="D33" s="59">
        <v>1028000</v>
      </c>
    </row>
    <row r="34" spans="1:4" x14ac:dyDescent="0.3">
      <c r="A34" s="8" t="s">
        <v>298</v>
      </c>
      <c r="B34" s="59">
        <v>4231120</v>
      </c>
      <c r="C34" s="59">
        <v>4637000</v>
      </c>
      <c r="D34" s="59">
        <v>5143000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2"/>
  <sheetViews>
    <sheetView workbookViewId="0">
      <selection activeCell="K10" sqref="K10"/>
    </sheetView>
  </sheetViews>
  <sheetFormatPr defaultRowHeight="16.5" x14ac:dyDescent="0.3"/>
  <cols>
    <col min="2" max="2" width="11.125" bestFit="1" customWidth="1"/>
    <col min="4" max="6" width="10.875" bestFit="1" customWidth="1"/>
  </cols>
  <sheetData>
    <row r="1" spans="1:7" ht="20.25" x14ac:dyDescent="0.3">
      <c r="A1" s="31" t="s">
        <v>224</v>
      </c>
      <c r="B1" s="31"/>
      <c r="C1" s="31"/>
      <c r="D1" s="31"/>
      <c r="E1" s="31"/>
      <c r="F1" s="31"/>
    </row>
    <row r="3" spans="1:7" x14ac:dyDescent="0.3">
      <c r="A3" s="2" t="s">
        <v>226</v>
      </c>
      <c r="B3" s="10" t="s">
        <v>215</v>
      </c>
      <c r="C3" s="2" t="s">
        <v>24</v>
      </c>
      <c r="D3" s="2" t="s">
        <v>103</v>
      </c>
      <c r="E3" s="2" t="s">
        <v>22</v>
      </c>
      <c r="F3" s="2" t="s">
        <v>43</v>
      </c>
      <c r="G3" s="2" t="s">
        <v>44</v>
      </c>
    </row>
    <row r="4" spans="1:7" x14ac:dyDescent="0.3">
      <c r="A4" s="2" t="s">
        <v>216</v>
      </c>
      <c r="B4" s="3">
        <v>45779</v>
      </c>
      <c r="C4" s="4">
        <v>25870</v>
      </c>
      <c r="D4" s="2">
        <v>325</v>
      </c>
      <c r="E4" s="11">
        <f>C4*D4</f>
        <v>8407750</v>
      </c>
      <c r="F4" s="11">
        <v>3078500</v>
      </c>
      <c r="G4" s="12">
        <f>F4/E4</f>
        <v>0.36615027801730549</v>
      </c>
    </row>
    <row r="5" spans="1:7" x14ac:dyDescent="0.3">
      <c r="A5" s="2" t="s">
        <v>217</v>
      </c>
      <c r="B5" s="3">
        <v>45784</v>
      </c>
      <c r="C5" s="4">
        <v>29870</v>
      </c>
      <c r="D5" s="2">
        <v>311</v>
      </c>
      <c r="E5" s="11">
        <f t="shared" ref="E5:E12" si="0">C5*D5</f>
        <v>9289570</v>
      </c>
      <c r="F5" s="11">
        <v>2158700</v>
      </c>
      <c r="G5" s="12">
        <f t="shared" ref="G5:G12" si="1">F5/E5</f>
        <v>0.2323788937485804</v>
      </c>
    </row>
    <row r="6" spans="1:7" x14ac:dyDescent="0.3">
      <c r="A6" s="2" t="s">
        <v>218</v>
      </c>
      <c r="B6" s="3">
        <v>45788</v>
      </c>
      <c r="C6" s="4">
        <v>26780</v>
      </c>
      <c r="D6" s="2">
        <v>279</v>
      </c>
      <c r="E6" s="11">
        <f t="shared" si="0"/>
        <v>7471620</v>
      </c>
      <c r="F6" s="11">
        <v>2368750</v>
      </c>
      <c r="G6" s="12">
        <f t="shared" si="1"/>
        <v>0.31703298615293607</v>
      </c>
    </row>
    <row r="7" spans="1:7" x14ac:dyDescent="0.3">
      <c r="A7" s="10" t="s">
        <v>219</v>
      </c>
      <c r="B7" s="3">
        <v>45793</v>
      </c>
      <c r="C7" s="4">
        <v>27120</v>
      </c>
      <c r="D7" s="2">
        <v>284</v>
      </c>
      <c r="E7" s="11">
        <f t="shared" si="0"/>
        <v>7702080</v>
      </c>
      <c r="F7" s="11">
        <v>2968700</v>
      </c>
      <c r="G7" s="12">
        <f t="shared" si="1"/>
        <v>0.38544133532759983</v>
      </c>
    </row>
    <row r="8" spans="1:7" x14ac:dyDescent="0.3">
      <c r="A8" s="10" t="s">
        <v>220</v>
      </c>
      <c r="B8" s="3">
        <v>45795</v>
      </c>
      <c r="C8" s="4">
        <v>25930</v>
      </c>
      <c r="D8" s="2">
        <v>292</v>
      </c>
      <c r="E8" s="11">
        <f t="shared" si="0"/>
        <v>7571560</v>
      </c>
      <c r="F8" s="11">
        <v>1897000</v>
      </c>
      <c r="G8" s="12">
        <f t="shared" si="1"/>
        <v>0.2505428207661301</v>
      </c>
    </row>
    <row r="9" spans="1:7" x14ac:dyDescent="0.3">
      <c r="A9" s="10" t="s">
        <v>221</v>
      </c>
      <c r="B9" s="3">
        <v>45798</v>
      </c>
      <c r="C9" s="4">
        <v>24740</v>
      </c>
      <c r="D9" s="2">
        <v>198</v>
      </c>
      <c r="E9" s="11">
        <f t="shared" si="0"/>
        <v>4898520</v>
      </c>
      <c r="F9" s="11">
        <v>1144500</v>
      </c>
      <c r="G9" s="12">
        <f t="shared" si="1"/>
        <v>0.23364199799123</v>
      </c>
    </row>
    <row r="10" spans="1:7" x14ac:dyDescent="0.3">
      <c r="A10" s="10" t="s">
        <v>222</v>
      </c>
      <c r="B10" s="3">
        <v>45800</v>
      </c>
      <c r="C10" s="4">
        <v>21650</v>
      </c>
      <c r="D10" s="2">
        <v>211</v>
      </c>
      <c r="E10" s="11">
        <f t="shared" si="0"/>
        <v>4568150</v>
      </c>
      <c r="F10" s="11">
        <v>1369870</v>
      </c>
      <c r="G10" s="12">
        <f t="shared" si="1"/>
        <v>0.29987412847651673</v>
      </c>
    </row>
    <row r="11" spans="1:7" x14ac:dyDescent="0.3">
      <c r="A11" s="10" t="s">
        <v>223</v>
      </c>
      <c r="B11" s="3">
        <v>45805</v>
      </c>
      <c r="C11" s="4">
        <v>28630</v>
      </c>
      <c r="D11" s="2">
        <v>247</v>
      </c>
      <c r="E11" s="11">
        <f t="shared" si="0"/>
        <v>7071610</v>
      </c>
      <c r="F11" s="11">
        <v>3148790</v>
      </c>
      <c r="G11" s="12">
        <f t="shared" si="1"/>
        <v>0.44527201019286977</v>
      </c>
    </row>
    <row r="12" spans="1:7" x14ac:dyDescent="0.3">
      <c r="A12" s="10" t="s">
        <v>225</v>
      </c>
      <c r="B12" s="3">
        <v>45808</v>
      </c>
      <c r="C12" s="4">
        <v>23570</v>
      </c>
      <c r="D12" s="10">
        <v>264</v>
      </c>
      <c r="E12" s="11">
        <f t="shared" si="0"/>
        <v>6222480</v>
      </c>
      <c r="F12" s="11">
        <v>2698700</v>
      </c>
      <c r="G12" s="12">
        <f t="shared" si="1"/>
        <v>0.43370167521631248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익률">
                <anchor moveWithCells="1" sizeWithCells="1">
                  <from>
                    <xdr:col>1</xdr:col>
                    <xdr:colOff>19050</xdr:colOff>
                    <xdr:row>13</xdr:row>
                    <xdr:rowOff>19050</xdr:rowOff>
                  </from>
                  <to>
                    <xdr:col>2</xdr:col>
                    <xdr:colOff>657225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1:D10"/>
  <sheetViews>
    <sheetView tabSelected="1" topLeftCell="A6" workbookViewId="0">
      <selection activeCell="L24" sqref="L24"/>
    </sheetView>
  </sheetViews>
  <sheetFormatPr defaultRowHeight="16.5" x14ac:dyDescent="0.3"/>
  <sheetData>
    <row r="1" spans="1:4" ht="20.25" x14ac:dyDescent="0.3">
      <c r="A1" s="31" t="s">
        <v>227</v>
      </c>
      <c r="B1" s="31"/>
      <c r="C1" s="31"/>
      <c r="D1" s="31"/>
    </row>
    <row r="3" spans="1:4" x14ac:dyDescent="0.3">
      <c r="A3" s="2" t="s">
        <v>45</v>
      </c>
      <c r="B3" s="2" t="s">
        <v>118</v>
      </c>
      <c r="C3" s="2" t="s">
        <v>119</v>
      </c>
      <c r="D3" s="2" t="s">
        <v>46</v>
      </c>
    </row>
    <row r="4" spans="1:4" x14ac:dyDescent="0.3">
      <c r="A4" s="2" t="s">
        <v>228</v>
      </c>
      <c r="B4" s="2">
        <v>98</v>
      </c>
      <c r="C4" s="2">
        <v>69</v>
      </c>
      <c r="D4" s="2">
        <f>AVERAGE(B4:C4)</f>
        <v>83.5</v>
      </c>
    </row>
    <row r="5" spans="1:4" x14ac:dyDescent="0.3">
      <c r="A5" s="2" t="s">
        <v>229</v>
      </c>
      <c r="B5" s="2">
        <v>65</v>
      </c>
      <c r="C5" s="2">
        <v>88</v>
      </c>
      <c r="D5" s="2">
        <f t="shared" ref="D5:D10" si="0">AVERAGE(B5:C5)</f>
        <v>76.5</v>
      </c>
    </row>
    <row r="6" spans="1:4" x14ac:dyDescent="0.3">
      <c r="A6" s="2" t="s">
        <v>230</v>
      </c>
      <c r="B6" s="2">
        <v>78</v>
      </c>
      <c r="C6" s="2">
        <v>81</v>
      </c>
      <c r="D6" s="2">
        <f t="shared" si="0"/>
        <v>79.5</v>
      </c>
    </row>
    <row r="7" spans="1:4" x14ac:dyDescent="0.3">
      <c r="A7" s="2" t="s">
        <v>231</v>
      </c>
      <c r="B7" s="2">
        <v>84</v>
      </c>
      <c r="C7" s="2">
        <v>92</v>
      </c>
      <c r="D7" s="2">
        <f t="shared" si="0"/>
        <v>88</v>
      </c>
    </row>
    <row r="8" spans="1:4" x14ac:dyDescent="0.3">
      <c r="A8" s="2" t="s">
        <v>232</v>
      </c>
      <c r="B8" s="2">
        <v>48</v>
      </c>
      <c r="C8" s="2">
        <v>68</v>
      </c>
      <c r="D8" s="2">
        <f t="shared" si="0"/>
        <v>58</v>
      </c>
    </row>
    <row r="9" spans="1:4" x14ac:dyDescent="0.3">
      <c r="A9" s="2" t="s">
        <v>233</v>
      </c>
      <c r="B9" s="2">
        <v>59</v>
      </c>
      <c r="C9" s="2">
        <v>67</v>
      </c>
      <c r="D9" s="2">
        <f t="shared" si="0"/>
        <v>63</v>
      </c>
    </row>
    <row r="10" spans="1:4" x14ac:dyDescent="0.3">
      <c r="A10" s="2" t="s">
        <v>234</v>
      </c>
      <c r="B10" s="2">
        <v>77</v>
      </c>
      <c r="C10" s="2">
        <v>78</v>
      </c>
      <c r="D10" s="2">
        <f t="shared" si="0"/>
        <v>77.5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2024-04-08T08:55:14Z</dcterms:created>
  <dcterms:modified xsi:type="dcterms:W3CDTF">2026-09-14T12:51:07Z</dcterms:modified>
</cp:coreProperties>
</file>