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대표기출따라하기\"/>
    </mc:Choice>
  </mc:AlternateContent>
  <xr:revisionPtr revIDLastSave="0" documentId="13_ncr:1_{3B190F02-0186-442F-8E98-8CF0794ED4A2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'기본작업-3'!$A$3:$H$16</definedName>
    <definedName name="_xlnm.Criteria" localSheetId="2">'기본작업-3'!$A$19:$B$20</definedName>
    <definedName name="_xlnm.Extract" localSheetId="2">'기본작업-3'!$A$23:$H$23</definedName>
    <definedName name="가격">'기본작업-2'!$D$4:$D$15</definedName>
    <definedName name="순이익">'분석작업-1'!$E$6</definedName>
    <definedName name="판매가격">'분석작업-1'!$B$5</definedName>
    <definedName name="판매수량">'분석작업-1'!$B$4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4" i="7"/>
  <c r="E29" i="4"/>
  <c r="E30" i="4"/>
  <c r="E31" i="4"/>
  <c r="E32" i="4"/>
  <c r="E33" i="4"/>
  <c r="E34" i="4"/>
  <c r="E35" i="4"/>
  <c r="E36" i="4"/>
  <c r="E37" i="4"/>
  <c r="E28" i="4"/>
  <c r="J15" i="4"/>
  <c r="J16" i="4"/>
  <c r="J17" i="4"/>
  <c r="J18" i="4"/>
  <c r="J19" i="4"/>
  <c r="J20" i="4"/>
  <c r="J21" i="4"/>
  <c r="J22" i="4"/>
  <c r="J23" i="4"/>
  <c r="J24" i="4"/>
  <c r="J14" i="4"/>
  <c r="D24" i="4"/>
  <c r="J4" i="4"/>
  <c r="J5" i="4"/>
  <c r="J6" i="4"/>
  <c r="J7" i="4"/>
  <c r="J8" i="4"/>
  <c r="J9" i="4"/>
  <c r="J10" i="4"/>
  <c r="J3" i="4"/>
  <c r="D4" i="4"/>
  <c r="D5" i="4"/>
  <c r="D6" i="4"/>
  <c r="D7" i="4"/>
  <c r="D8" i="4"/>
  <c r="D9" i="4"/>
  <c r="D10" i="4"/>
  <c r="D3" i="4"/>
  <c r="B20" i="3"/>
  <c r="E5" i="5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<sst xmlns="http://schemas.openxmlformats.org/spreadsheetml/2006/main" count="343" uniqueCount="245">
  <si>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</si>
  <si>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</si>
  <si>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</si>
  <si>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</si>
  <si>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</si>
  <si>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</si>
  <si>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</si>
  <si>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</si>
  <si>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</si>
  <si>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</si>
  <si>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</si>
  <si>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</si>
  <si>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</si>
  <si>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</si>
  <si>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</si>
  <si>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</si>
  <si>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</si>
  <si>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</si>
  <si>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</si>
  <si>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</si>
  <si>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</si>
  <si>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</si>
  <si>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</si>
  <si>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</si>
  <si>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</si>
  <si>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</si>
  <si>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</si>
  <si>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</si>
  <si>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</si>
  <si>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</si>
  <si>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</si>
  <si>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</si>
  <si>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</si>
  <si>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</si>
  <si>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</si>
  <si>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</si>
  <si>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</si>
  <si>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</si>
  <si>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</si>
  <si>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</si>
  <si>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</si>
  <si>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</si>
  <si>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</si>
  <si>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</si>
  <si>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</si>
  <si>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</si>
  <si>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</si>
  <si>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</si>
  <si>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</si>
  <si>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</si>
  <si>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</si>
  <si>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</si>
  <si>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</si>
  <si>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</si>
  <si>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</si>
  <si>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</si>
  <si>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</si>
  <si>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</si>
  <si>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</si>
  <si>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</si>
  <si>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</si>
  <si>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</si>
  <si>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</si>
  <si>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</si>
  <si>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</si>
  <si>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</si>
  <si>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</si>
  <si>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</si>
  <si>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</si>
  <si>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</si>
  <si>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</si>
  <si>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</si>
  <si>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</si>
  <si>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</si>
  <si>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</si>
  <si>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</si>
  <si>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</si>
  <si>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</si>
  <si>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</si>
  <si>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</si>
  <si>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</si>
  <si>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</si>
  <si>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</si>
  <si>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</si>
  <si>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</si>
  <si>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</si>
  <si>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</si>
  <si>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</si>
  <si>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</si>
  <si>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</si>
  <si>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</si>
  <si>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</si>
  <si>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</si>
  <si>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</si>
  <si>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</si>
  <si>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</si>
  <si>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</si>
  <si>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</si>
  <si>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</si>
  <si>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</si>
  <si>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</si>
  <si>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</si>
  <si>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</si>
  <si>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</si>
  <si>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</si>
  <si>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</si>
  <si>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</si>
  <si>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</si>
  <si>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</si>
  <si>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</si>
  <si>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</si>
  <si>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</si>
  <si>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</si>
  <si>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</si>
  <si>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</si>
  <si>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</si>
  <si>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</si>
  <si>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</si>
  <si>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</si>
  <si>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</si>
  <si>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</si>
  <si>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</si>
  <si>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</si>
  <si>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</si>
  <si>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</si>
  <si>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</si>
  <si>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</si>
  <si>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</si>
  <si>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</si>
  <si>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</si>
  <si>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</si>
  <si>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</si>
  <si>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</si>
  <si>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</si>
  <si>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</si>
  <si>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</si>
  <si>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</si>
  <si>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</si>
  <si>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</si>
  <si>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</si>
  <si>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</si>
  <si>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</si>
  <si>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</si>
  <si>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</si>
  <si>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</si>
  <si>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</si>
  <si>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</si>
  <si>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</si>
  <si>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</si>
  <si>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</si>
  <si>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</si>
  <si>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</si>
  <si>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</si>
  <si>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</si>
  <si>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</si>
  <si>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</si>
  <si>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</si>
  <si>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</si>
  <si>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</si>
  <si>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</si>
  <si>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</si>
  <si>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</si>
  <si>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</si>
  <si>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</si>
  <si>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</si>
  <si>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</si>
  <si>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</si>
  <si>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</si>
  <si>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</si>
  <si>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</si>
  <si>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</si>
  <si>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</si>
  <si>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</si>
  <si>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</si>
  <si>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</si>
  <si>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</si>
  <si>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</si>
  <si>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</si>
  <si>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</si>
  <si>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</si>
  <si>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</si>
  <si>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</si>
  <si>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</si>
  <si>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</si>
  <si>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</si>
  <si>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</si>
  <si>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</si>
  <si>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</si>
  <si>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</si>
  <si>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</si>
  <si>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</si>
  <si>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</si>
  <si>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</si>
  <si>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</si>
  <si>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</si>
  <si>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</si>
  <si>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</si>
  <si>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</si>
  <si>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</si>
  <si>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</si>
  <si>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</si>
  <si>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</si>
  <si>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</si>
  <si>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</si>
  <si>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</si>
  <si>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</si>
  <si>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</si>
  <si>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</si>
  <si>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</si>
  <si>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</si>
  <si>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</si>
  <si>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</si>
  <si>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</si>
  <si>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</si>
  <si>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</si>
  <si>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</si>
  <si>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</si>
  <si>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</si>
  <si>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</si>
  <si>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</si>
  <si>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</si>
  <si>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</si>
  <si>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</si>
  <si>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</si>
  <si>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</si>
  <si>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</si>
  <si>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</si>
  <si>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</si>
  <si>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</si>
  <si>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</si>
  <si>
    <t>&gt;=6</t>
    <phoneticPr fontId="2" type="noConversion"/>
  </si>
  <si>
    <t>조건</t>
    <phoneticPr fontId="2" type="noConversion"/>
  </si>
  <si>
    <t>판매수량</t>
  </si>
  <si>
    <t>판매가격</t>
  </si>
  <si>
    <t>순이익</t>
  </si>
  <si>
    <t>인상증가</t>
  </si>
  <si>
    <t>만든 사람 mbc 날짜 2026-09-10</t>
  </si>
  <si>
    <t>인하감소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</si>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</sst>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;@"/>
    <numFmt numFmtId="177" formatCode="#,##0_ "/>
    <numFmt numFmtId="178" formatCode="#,##0&quot;원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9" fillId="0" borderId="2" applyNumberFormat="0" applyFill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2" xfId="4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1" fillId="3" borderId="5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4" borderId="4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right" vertical="center"/>
    </xf>
    <xf numFmtId="0" fontId="10" fillId="3" borderId="5" xfId="0" applyFont="1" applyFill="1" applyBorder="1" applyAlignment="1">
      <alignment horizontal="right" vertical="center"/>
    </xf>
    <xf numFmtId="41" fontId="0" fillId="5" borderId="0" xfId="0" applyNumberFormat="1" applyFill="1" applyBorder="1" applyAlignment="1">
      <alignment vertical="center"/>
    </xf>
    <xf numFmtId="0" fontId="6" fillId="0" borderId="0" xfId="0" applyFont="1" applyFill="1" applyBorder="1" applyAlignment="1">
      <alignment vertical="top" wrapText="1"/>
    </xf>
    <xf numFmtId="0" fontId="15" fillId="6" borderId="1" xfId="0" applyFont="1" applyFill="1" applyBorder="1" applyAlignment="1">
      <alignment horizontal="center" vertical="center"/>
    </xf>
  </cellXfs>
  <cellStyles count="5">
    <cellStyle name="쉼표 [0]" xfId="1" builtinId="6"/>
    <cellStyle name="제목 1" xfId="4" builtinId="1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r>
              <a:rPr lang="en-US" altLang="ko-KR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1</a:t>
            </a:r>
            <a:r>
              <a:rPr lang="ko-KR" altLang="en-US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분기 보드게임 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00B050"/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C2-4EEC-8EB3-6E644ACDBB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368624"/>
        <c:axId val="548360304"/>
      </c:bar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  <c:min val="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14</xdr:row>
          <xdr:rowOff>19050</xdr:rowOff>
        </xdr:from>
        <xdr:to>
          <xdr:col>2</xdr:col>
          <xdr:colOff>657225</xdr:colOff>
          <xdr:row>15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22860</xdr:colOff>
      <xdr:row>14</xdr:row>
      <xdr:rowOff>22860</xdr:rowOff>
    </xdr:from>
    <xdr:to>
      <xdr:col>5</xdr:col>
      <xdr:colOff>662940</xdr:colOff>
      <xdr:row>15</xdr:row>
      <xdr:rowOff>182880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26EAA71-ED73-4935-9997-E6A6EF8E8AF7}"/>
            </a:ext>
          </a:extLst>
        </xdr:cNvPr>
        <xdr:cNvSpPr/>
      </xdr:nvSpPr>
      <xdr:spPr>
        <a:xfrm>
          <a:off x="2766060" y="3055620"/>
          <a:ext cx="132588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 x14ac:dyDescent="0.3"/>
  <cols>
    <col min="2" max="2" width="10.375" bestFit="1" customWidth="1"/>
    <col min="6" max="6" width="9.875" bestFit="1" customWidth="1"/>
  </cols>
  <sheetData>
    <row r="1" spans="1:1" x14ac:dyDescent="0.3">
      <c r="A1" t="s">
        <v>56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workbookViewId="0">
      <selection activeCell="A3" sqref="A3:F15"/>
    </sheetView>
  </sheetViews>
  <sheetFormatPr defaultRowHeight="16.5" x14ac:dyDescent="0.3"/>
  <cols>
    <col min="3" max="3" width="9.5" bestFit="1" customWidth="1"/>
    <col min="4" max="4" width="10.125" bestFit="1" customWidth="1"/>
    <col min="5" max="5" width="9.875" bestFit="1" customWidth="1"/>
    <col min="6" max="6" width="11.25" bestFit="1" customWidth="1"/>
  </cols>
  <sheetData>
    <row r="1" spans="1:6" ht="32.1" customHeight="1" thickBot="1" x14ac:dyDescent="0.35">
      <c r="A1" s="28" t="s">
        <v>57</v>
      </c>
      <c r="B1" s="28"/>
      <c r="C1" s="28"/>
      <c r="D1" s="28"/>
      <c r="E1" s="28"/>
      <c r="F1" s="28"/>
    </row>
    <row r="2" spans="1:6" ht="17.25" thickTop="1" x14ac:dyDescent="0.3"/>
    <row r="3" spans="1:6" x14ac:dyDescent="0.3">
      <c r="A3" s="1" t="s">
        <v>66</v>
      </c>
      <c r="B3" s="1" t="s">
        <v>0</v>
      </c>
      <c r="C3" s="1" t="s">
        <v>61</v>
      </c>
      <c r="D3" s="1" t="s">
        <v>62</v>
      </c>
      <c r="E3" s="1" t="s">
        <v>64</v>
      </c>
      <c r="F3" s="1" t="s">
        <v>65</v>
      </c>
    </row>
    <row r="4" spans="1:6" x14ac:dyDescent="0.3">
      <c r="A4" s="29" t="s">
        <v>58</v>
      </c>
      <c r="B4" s="30" t="s">
        <v>1</v>
      </c>
      <c r="C4" s="31">
        <v>45691</v>
      </c>
      <c r="D4" s="32">
        <v>22500</v>
      </c>
      <c r="E4" s="30">
        <v>85</v>
      </c>
      <c r="F4" s="32">
        <f>D4*E4*5</f>
        <v>9562500</v>
      </c>
    </row>
    <row r="5" spans="1:6" x14ac:dyDescent="0.3">
      <c r="A5" s="29"/>
      <c r="B5" s="30" t="s">
        <v>2</v>
      </c>
      <c r="C5" s="31">
        <v>45693</v>
      </c>
      <c r="D5" s="32">
        <v>18500</v>
      </c>
      <c r="E5" s="30">
        <v>92</v>
      </c>
      <c r="F5" s="32">
        <f>D5*E5*5</f>
        <v>8510000</v>
      </c>
    </row>
    <row r="6" spans="1:6" x14ac:dyDescent="0.3">
      <c r="A6" s="29"/>
      <c r="B6" s="30" t="s">
        <v>3</v>
      </c>
      <c r="C6" s="31">
        <v>45695</v>
      </c>
      <c r="D6" s="32">
        <v>13500</v>
      </c>
      <c r="E6" s="30">
        <v>51</v>
      </c>
      <c r="F6" s="32">
        <f t="shared" ref="F6:F15" si="0">D6*E6*5</f>
        <v>3442500</v>
      </c>
    </row>
    <row r="7" spans="1:6" x14ac:dyDescent="0.3">
      <c r="A7" s="29" t="s">
        <v>59</v>
      </c>
      <c r="B7" s="30" t="s">
        <v>1</v>
      </c>
      <c r="C7" s="31">
        <v>45691</v>
      </c>
      <c r="D7" s="32">
        <v>24000</v>
      </c>
      <c r="E7" s="30">
        <v>78</v>
      </c>
      <c r="F7" s="32">
        <f t="shared" si="0"/>
        <v>9360000</v>
      </c>
    </row>
    <row r="8" spans="1:6" x14ac:dyDescent="0.3">
      <c r="A8" s="29"/>
      <c r="B8" s="30" t="s">
        <v>2</v>
      </c>
      <c r="C8" s="31">
        <v>45693</v>
      </c>
      <c r="D8" s="32">
        <v>21000</v>
      </c>
      <c r="E8" s="30">
        <v>88</v>
      </c>
      <c r="F8" s="32">
        <f t="shared" si="0"/>
        <v>9240000</v>
      </c>
    </row>
    <row r="9" spans="1:6" x14ac:dyDescent="0.3">
      <c r="A9" s="29"/>
      <c r="B9" s="30" t="s">
        <v>3</v>
      </c>
      <c r="C9" s="31">
        <v>45695</v>
      </c>
      <c r="D9" s="32">
        <v>12000</v>
      </c>
      <c r="E9" s="30">
        <v>63</v>
      </c>
      <c r="F9" s="32">
        <f t="shared" si="0"/>
        <v>3780000</v>
      </c>
    </row>
    <row r="10" spans="1:6" x14ac:dyDescent="0.3">
      <c r="A10" s="29" t="s">
        <v>63</v>
      </c>
      <c r="B10" s="30" t="s">
        <v>1</v>
      </c>
      <c r="C10" s="31">
        <v>45691</v>
      </c>
      <c r="D10" s="32">
        <v>19800</v>
      </c>
      <c r="E10" s="30">
        <v>54</v>
      </c>
      <c r="F10" s="32">
        <f t="shared" si="0"/>
        <v>5346000</v>
      </c>
    </row>
    <row r="11" spans="1:6" x14ac:dyDescent="0.3">
      <c r="A11" s="29"/>
      <c r="B11" s="30" t="s">
        <v>2</v>
      </c>
      <c r="C11" s="31">
        <v>45693</v>
      </c>
      <c r="D11" s="32">
        <v>9500</v>
      </c>
      <c r="E11" s="30">
        <v>42</v>
      </c>
      <c r="F11" s="32">
        <f t="shared" si="0"/>
        <v>1995000</v>
      </c>
    </row>
    <row r="12" spans="1:6" x14ac:dyDescent="0.3">
      <c r="A12" s="29"/>
      <c r="B12" s="30" t="s">
        <v>3</v>
      </c>
      <c r="C12" s="31">
        <v>45695</v>
      </c>
      <c r="D12" s="32">
        <v>8600</v>
      </c>
      <c r="E12" s="30">
        <v>31</v>
      </c>
      <c r="F12" s="32">
        <f t="shared" si="0"/>
        <v>1333000</v>
      </c>
    </row>
    <row r="13" spans="1:6" x14ac:dyDescent="0.3">
      <c r="A13" s="29" t="s">
        <v>60</v>
      </c>
      <c r="B13" s="30" t="s">
        <v>1</v>
      </c>
      <c r="C13" s="31">
        <v>45691</v>
      </c>
      <c r="D13" s="32">
        <v>18500</v>
      </c>
      <c r="E13" s="30">
        <v>35</v>
      </c>
      <c r="F13" s="32">
        <f t="shared" si="0"/>
        <v>3237500</v>
      </c>
    </row>
    <row r="14" spans="1:6" x14ac:dyDescent="0.3">
      <c r="A14" s="29"/>
      <c r="B14" s="30" t="s">
        <v>2</v>
      </c>
      <c r="C14" s="31">
        <v>45693</v>
      </c>
      <c r="D14" s="32">
        <v>16000</v>
      </c>
      <c r="E14" s="30">
        <v>28</v>
      </c>
      <c r="F14" s="32">
        <f t="shared" si="0"/>
        <v>2240000</v>
      </c>
    </row>
    <row r="15" spans="1:6" x14ac:dyDescent="0.3">
      <c r="A15" s="29"/>
      <c r="B15" s="30" t="s">
        <v>3</v>
      </c>
      <c r="C15" s="31">
        <v>45695</v>
      </c>
      <c r="D15" s="32">
        <v>8200</v>
      </c>
      <c r="E15" s="30">
        <v>12</v>
      </c>
      <c r="F15" s="32">
        <f t="shared" si="0"/>
        <v>492000</v>
      </c>
    </row>
  </sheetData>
  <mergeCells count="5">
    <mergeCell ref="A1:F1"/>
    <mergeCell ref="A4:A6"/>
    <mergeCell ref="A7:A9"/>
    <mergeCell ref="A10:A12"/>
    <mergeCell ref="A13:A15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8"/>
  <sheetViews>
    <sheetView topLeftCell="A13" workbookViewId="0">
      <selection activeCell="A3" sqref="A3:H16"/>
    </sheetView>
  </sheetViews>
  <sheetFormatPr defaultRowHeight="16.5" x14ac:dyDescent="0.3"/>
  <cols>
    <col min="1" max="2" width="10.75" bestFit="1" customWidth="1"/>
    <col min="3" max="3" width="8.5" bestFit="1" customWidth="1"/>
    <col min="5" max="5" width="9.625" bestFit="1" customWidth="1"/>
    <col min="6" max="7" width="8.5" bestFit="1" customWidth="1"/>
    <col min="8" max="8" width="10.625" bestFit="1" customWidth="1"/>
  </cols>
  <sheetData>
    <row r="1" spans="1:8" ht="20.25" x14ac:dyDescent="0.3">
      <c r="A1" s="26" t="s">
        <v>67</v>
      </c>
      <c r="B1" s="26"/>
      <c r="C1" s="26"/>
      <c r="D1" s="26"/>
      <c r="E1" s="26"/>
      <c r="F1" s="26"/>
      <c r="G1" s="26"/>
      <c r="H1" s="26"/>
    </row>
    <row r="3" spans="1:8" x14ac:dyDescent="0.3">
      <c r="A3" s="1" t="s">
        <v>68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69</v>
      </c>
      <c r="G3" s="1" t="s">
        <v>96</v>
      </c>
      <c r="H3" s="1" t="s">
        <v>8</v>
      </c>
    </row>
    <row r="4" spans="1:8" x14ac:dyDescent="0.3">
      <c r="A4" s="2">
        <v>45691</v>
      </c>
      <c r="B4" s="2">
        <v>45723</v>
      </c>
      <c r="C4" s="1" t="s">
        <v>70</v>
      </c>
      <c r="D4" s="1" t="s">
        <v>83</v>
      </c>
      <c r="E4" s="1">
        <v>4</v>
      </c>
      <c r="F4" s="1">
        <v>1</v>
      </c>
      <c r="G4" s="1" t="s">
        <v>97</v>
      </c>
      <c r="H4" s="3">
        <v>1000000</v>
      </c>
    </row>
    <row r="5" spans="1:8" x14ac:dyDescent="0.3">
      <c r="A5" s="2">
        <v>45692</v>
      </c>
      <c r="B5" s="2">
        <v>45720</v>
      </c>
      <c r="C5" s="1" t="s">
        <v>71</v>
      </c>
      <c r="D5" s="1" t="s">
        <v>84</v>
      </c>
      <c r="E5" s="1">
        <v>5</v>
      </c>
      <c r="F5" s="1">
        <v>1</v>
      </c>
      <c r="G5" s="1" t="s">
        <v>98</v>
      </c>
      <c r="H5" s="3">
        <v>1700000</v>
      </c>
    </row>
    <row r="6" spans="1:8" x14ac:dyDescent="0.3">
      <c r="A6" s="2">
        <v>45692</v>
      </c>
      <c r="B6" s="2">
        <v>45730</v>
      </c>
      <c r="C6" s="1" t="s">
        <v>72</v>
      </c>
      <c r="D6" s="1" t="s">
        <v>85</v>
      </c>
      <c r="E6" s="1">
        <v>7</v>
      </c>
      <c r="F6" s="1">
        <v>2</v>
      </c>
      <c r="G6" s="1" t="s">
        <v>99</v>
      </c>
      <c r="H6" s="3">
        <v>1500000</v>
      </c>
    </row>
    <row r="7" spans="1:8" x14ac:dyDescent="0.3">
      <c r="A7" s="2">
        <v>45693</v>
      </c>
      <c r="B7" s="2">
        <v>45710</v>
      </c>
      <c r="C7" s="1" t="s">
        <v>73</v>
      </c>
      <c r="D7" s="1" t="s">
        <v>87</v>
      </c>
      <c r="E7" s="1">
        <v>4</v>
      </c>
      <c r="F7" s="1">
        <v>1</v>
      </c>
      <c r="G7" s="1" t="s">
        <v>9</v>
      </c>
      <c r="H7" s="3">
        <v>800000</v>
      </c>
    </row>
    <row r="8" spans="1:8" x14ac:dyDescent="0.3">
      <c r="A8" s="2">
        <v>45694</v>
      </c>
      <c r="B8" s="2">
        <v>45710</v>
      </c>
      <c r="C8" s="1" t="s">
        <v>74</v>
      </c>
      <c r="D8" s="1" t="s">
        <v>88</v>
      </c>
      <c r="E8" s="1">
        <v>6</v>
      </c>
      <c r="F8" s="1">
        <v>2</v>
      </c>
      <c r="G8" s="1" t="s">
        <v>10</v>
      </c>
      <c r="H8" s="3">
        <v>1300000</v>
      </c>
    </row>
    <row r="9" spans="1:8" x14ac:dyDescent="0.3">
      <c r="A9" s="2">
        <v>45698</v>
      </c>
      <c r="B9" s="2">
        <v>45723</v>
      </c>
      <c r="C9" s="1" t="s">
        <v>75</v>
      </c>
      <c r="D9" s="1" t="s">
        <v>89</v>
      </c>
      <c r="E9" s="1">
        <v>8</v>
      </c>
      <c r="F9" s="1">
        <v>2</v>
      </c>
      <c r="G9" s="1" t="s">
        <v>100</v>
      </c>
      <c r="H9" s="3">
        <v>1700000</v>
      </c>
    </row>
    <row r="10" spans="1:8" x14ac:dyDescent="0.3">
      <c r="A10" s="2">
        <v>45698</v>
      </c>
      <c r="B10" s="2">
        <v>45711</v>
      </c>
      <c r="C10" s="1" t="s">
        <v>76</v>
      </c>
      <c r="D10" s="1" t="s">
        <v>90</v>
      </c>
      <c r="E10" s="1">
        <v>5</v>
      </c>
      <c r="F10" s="1">
        <v>1</v>
      </c>
      <c r="G10" s="1" t="s">
        <v>101</v>
      </c>
      <c r="H10" s="3">
        <v>2500000</v>
      </c>
    </row>
    <row r="11" spans="1:8" x14ac:dyDescent="0.3">
      <c r="A11" s="2">
        <v>45699</v>
      </c>
      <c r="B11" s="2">
        <v>45720</v>
      </c>
      <c r="C11" s="1" t="s">
        <v>77</v>
      </c>
      <c r="D11" s="1" t="s">
        <v>91</v>
      </c>
      <c r="E11" s="1">
        <v>8</v>
      </c>
      <c r="F11" s="1">
        <v>2</v>
      </c>
      <c r="G11" s="1" t="s">
        <v>11</v>
      </c>
      <c r="H11" s="3">
        <v>1800000</v>
      </c>
    </row>
    <row r="12" spans="1:8" x14ac:dyDescent="0.3">
      <c r="A12" s="2">
        <v>45700</v>
      </c>
      <c r="B12" s="2">
        <v>45730</v>
      </c>
      <c r="C12" s="1" t="s">
        <v>78</v>
      </c>
      <c r="D12" s="1" t="s">
        <v>92</v>
      </c>
      <c r="E12" s="1">
        <v>7</v>
      </c>
      <c r="F12" s="1">
        <v>2</v>
      </c>
      <c r="G12" s="1" t="s">
        <v>102</v>
      </c>
      <c r="H12" s="3">
        <v>2200000</v>
      </c>
    </row>
    <row r="13" spans="1:8" x14ac:dyDescent="0.3">
      <c r="A13" s="2">
        <v>45702</v>
      </c>
      <c r="B13" s="2">
        <v>45720</v>
      </c>
      <c r="C13" s="1" t="s">
        <v>79</v>
      </c>
      <c r="D13" s="1" t="s">
        <v>86</v>
      </c>
      <c r="E13" s="1">
        <v>4</v>
      </c>
      <c r="F13" s="1">
        <v>1</v>
      </c>
      <c r="G13" s="1" t="s">
        <v>103</v>
      </c>
      <c r="H13" s="3">
        <v>1100000</v>
      </c>
    </row>
    <row r="14" spans="1:8" x14ac:dyDescent="0.3">
      <c r="A14" s="2">
        <v>45705</v>
      </c>
      <c r="B14" s="2">
        <v>45719</v>
      </c>
      <c r="C14" s="1" t="s">
        <v>80</v>
      </c>
      <c r="D14" s="1" t="s">
        <v>93</v>
      </c>
      <c r="E14" s="1">
        <v>8</v>
      </c>
      <c r="F14" s="1">
        <v>2</v>
      </c>
      <c r="G14" s="1" t="s">
        <v>104</v>
      </c>
      <c r="H14" s="3">
        <v>2900000</v>
      </c>
    </row>
    <row r="15" spans="1:8" x14ac:dyDescent="0.3">
      <c r="A15" s="2">
        <v>45706</v>
      </c>
      <c r="B15" s="2">
        <v>45737</v>
      </c>
      <c r="C15" s="1" t="s">
        <v>81</v>
      </c>
      <c r="D15" s="1" t="s">
        <v>94</v>
      </c>
      <c r="E15" s="1">
        <v>6</v>
      </c>
      <c r="F15" s="1">
        <v>2</v>
      </c>
      <c r="G15" s="1" t="s">
        <v>9</v>
      </c>
      <c r="H15" s="3">
        <v>1300000</v>
      </c>
    </row>
    <row r="16" spans="1:8" x14ac:dyDescent="0.3">
      <c r="A16" s="2">
        <v>45707</v>
      </c>
      <c r="B16" s="2">
        <v>45730</v>
      </c>
      <c r="C16" s="1" t="s">
        <v>82</v>
      </c>
      <c r="D16" s="1" t="s">
        <v>95</v>
      </c>
      <c r="E16" s="1">
        <v>9</v>
      </c>
      <c r="F16" s="1">
        <v>2</v>
      </c>
      <c r="G16" s="1" t="s">
        <v>105</v>
      </c>
      <c r="H16" s="3">
        <v>1900000</v>
      </c>
    </row>
    <row r="19" spans="1:8" x14ac:dyDescent="0.3">
      <c r="A19" s="1" t="s">
        <v>7</v>
      </c>
      <c r="B19" s="1" t="s">
        <v>231</v>
      </c>
    </row>
    <row r="20" spans="1:8" x14ac:dyDescent="0.3">
      <c r="A20" t="s">
        <v>230</v>
      </c>
      <c r="B20" t="b">
        <f>H4&gt;=AVERAGE($H$4:$H$16)</f>
        <v>0</v>
      </c>
    </row>
    <row r="23" spans="1:8" x14ac:dyDescent="0.3">
      <c r="A23" s="1" t="s">
        <v>68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69</v>
      </c>
      <c r="G23" s="1" t="s">
        <v>96</v>
      </c>
      <c r="H23" s="1" t="s">
        <v>8</v>
      </c>
    </row>
    <row r="24" spans="1:8" x14ac:dyDescent="0.3">
      <c r="A24" s="2">
        <v>45698</v>
      </c>
      <c r="B24" s="2">
        <v>45723</v>
      </c>
      <c r="C24" s="1" t="s">
        <v>75</v>
      </c>
      <c r="D24" s="1" t="s">
        <v>89</v>
      </c>
      <c r="E24" s="1">
        <v>8</v>
      </c>
      <c r="F24" s="1">
        <v>2</v>
      </c>
      <c r="G24" s="1" t="s">
        <v>100</v>
      </c>
      <c r="H24" s="3">
        <v>1700000</v>
      </c>
    </row>
    <row r="25" spans="1:8" x14ac:dyDescent="0.3">
      <c r="A25" s="2">
        <v>45699</v>
      </c>
      <c r="B25" s="2">
        <v>45720</v>
      </c>
      <c r="C25" s="1" t="s">
        <v>77</v>
      </c>
      <c r="D25" s="1" t="s">
        <v>91</v>
      </c>
      <c r="E25" s="1">
        <v>8</v>
      </c>
      <c r="F25" s="1">
        <v>2</v>
      </c>
      <c r="G25" s="1" t="s">
        <v>11</v>
      </c>
      <c r="H25" s="3">
        <v>1800000</v>
      </c>
    </row>
    <row r="26" spans="1:8" x14ac:dyDescent="0.3">
      <c r="A26" s="2">
        <v>45700</v>
      </c>
      <c r="B26" s="2">
        <v>45730</v>
      </c>
      <c r="C26" s="1" t="s">
        <v>78</v>
      </c>
      <c r="D26" s="1" t="s">
        <v>92</v>
      </c>
      <c r="E26" s="1">
        <v>7</v>
      </c>
      <c r="F26" s="1">
        <v>2</v>
      </c>
      <c r="G26" s="1" t="s">
        <v>102</v>
      </c>
      <c r="H26" s="3">
        <v>2200000</v>
      </c>
    </row>
    <row r="27" spans="1:8" x14ac:dyDescent="0.3">
      <c r="A27" s="2">
        <v>45705</v>
      </c>
      <c r="B27" s="2">
        <v>45719</v>
      </c>
      <c r="C27" s="1" t="s">
        <v>80</v>
      </c>
      <c r="D27" s="1" t="s">
        <v>93</v>
      </c>
      <c r="E27" s="1">
        <v>8</v>
      </c>
      <c r="F27" s="1">
        <v>2</v>
      </c>
      <c r="G27" s="1" t="s">
        <v>104</v>
      </c>
      <c r="H27" s="3">
        <v>2900000</v>
      </c>
    </row>
    <row r="28" spans="1:8" x14ac:dyDescent="0.3">
      <c r="A28" s="2">
        <v>45707</v>
      </c>
      <c r="B28" s="2">
        <v>45730</v>
      </c>
      <c r="C28" s="1" t="s">
        <v>82</v>
      </c>
      <c r="D28" s="1" t="s">
        <v>95</v>
      </c>
      <c r="E28" s="1">
        <v>9</v>
      </c>
      <c r="F28" s="1">
        <v>2</v>
      </c>
      <c r="G28" s="1" t="s">
        <v>105</v>
      </c>
      <c r="H28" s="3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topLeftCell="A19" zoomScaleNormal="100" workbookViewId="0">
      <selection activeCell="E28" sqref="E28:E37"/>
    </sheetView>
  </sheetViews>
  <sheetFormatPr defaultRowHeight="16.5" x14ac:dyDescent="0.3"/>
  <cols>
    <col min="1" max="1" width="13.125" bestFit="1" customWidth="1"/>
    <col min="4" max="4" width="9.125" bestFit="1" customWidth="1"/>
    <col min="8" max="8" width="12.375" bestFit="1" customWidth="1"/>
    <col min="9" max="9" width="10.625" bestFit="1" customWidth="1"/>
  </cols>
  <sheetData>
    <row r="1" spans="1:10" x14ac:dyDescent="0.3">
      <c r="A1" s="4" t="s">
        <v>12</v>
      </c>
      <c r="B1" s="5" t="s">
        <v>106</v>
      </c>
      <c r="F1" s="4" t="s">
        <v>25</v>
      </c>
      <c r="G1" s="5" t="s">
        <v>116</v>
      </c>
    </row>
    <row r="2" spans="1:10" x14ac:dyDescent="0.3">
      <c r="A2" s="1" t="s">
        <v>107</v>
      </c>
      <c r="B2" s="1" t="s">
        <v>13</v>
      </c>
      <c r="C2" s="1" t="s">
        <v>14</v>
      </c>
      <c r="D2" s="6" t="s">
        <v>15</v>
      </c>
      <c r="F2" s="7" t="s">
        <v>135</v>
      </c>
      <c r="G2" s="7" t="s">
        <v>26</v>
      </c>
      <c r="H2" s="7" t="s">
        <v>131</v>
      </c>
      <c r="I2" s="7" t="s">
        <v>27</v>
      </c>
      <c r="J2" s="6" t="s">
        <v>28</v>
      </c>
    </row>
    <row r="3" spans="1:10" x14ac:dyDescent="0.3">
      <c r="A3" s="1" t="s">
        <v>108</v>
      </c>
      <c r="B3" s="1">
        <v>6</v>
      </c>
      <c r="C3" s="8">
        <v>0.33333333333333331</v>
      </c>
      <c r="D3" s="8">
        <f>TIME(HOUR(C3),MINUTE(C3)+B3*5,0)</f>
        <v>0.35416666666666669</v>
      </c>
      <c r="F3" s="9" t="s">
        <v>132</v>
      </c>
      <c r="G3" s="10" t="s">
        <v>119</v>
      </c>
      <c r="H3" s="10" t="s">
        <v>117</v>
      </c>
      <c r="I3" s="3">
        <v>4460</v>
      </c>
      <c r="J3" s="9" t="str">
        <f>IF(I3=LARGE($I$3:$I$10,1),"최우수부서",IF(I3=LARGE($I$3:$I$10,2),"우수부서",""))</f>
        <v/>
      </c>
    </row>
    <row r="4" spans="1:10" x14ac:dyDescent="0.3">
      <c r="A4" s="1" t="s">
        <v>109</v>
      </c>
      <c r="B4" s="1">
        <v>3</v>
      </c>
      <c r="C4" s="8">
        <v>0.34027777777777773</v>
      </c>
      <c r="D4" s="8">
        <f t="shared" ref="D4:D10" si="0">TIME(HOUR(C4),MINUTE(C4)+B4*5,0)</f>
        <v>0.35069444444444442</v>
      </c>
      <c r="F4" s="9" t="s">
        <v>132</v>
      </c>
      <c r="G4" s="10" t="s">
        <v>120</v>
      </c>
      <c r="H4" s="10" t="s">
        <v>121</v>
      </c>
      <c r="I4" s="3">
        <v>6800</v>
      </c>
      <c r="J4" s="9" t="str">
        <f t="shared" ref="J4:J10" si="1">IF(I4=LARGE($I$3:$I$10,1),"최우수부서",IF(I4=LARGE($I$3:$I$10,2),"우수부서",""))</f>
        <v>우수부서</v>
      </c>
    </row>
    <row r="5" spans="1:10" x14ac:dyDescent="0.3">
      <c r="A5" s="1" t="s">
        <v>110</v>
      </c>
      <c r="B5" s="1">
        <v>4</v>
      </c>
      <c r="C5" s="8">
        <v>0.34027777777777773</v>
      </c>
      <c r="D5" s="8">
        <f t="shared" si="0"/>
        <v>0.35416666666666669</v>
      </c>
      <c r="F5" s="9" t="s">
        <v>132</v>
      </c>
      <c r="G5" s="10" t="s">
        <v>125</v>
      </c>
      <c r="H5" s="10" t="s">
        <v>118</v>
      </c>
      <c r="I5" s="3">
        <v>5580</v>
      </c>
      <c r="J5" s="9" t="str">
        <f t="shared" si="1"/>
        <v/>
      </c>
    </row>
    <row r="6" spans="1:10" x14ac:dyDescent="0.3">
      <c r="A6" s="1" t="s">
        <v>111</v>
      </c>
      <c r="B6" s="1">
        <v>5</v>
      </c>
      <c r="C6" s="8">
        <v>0.36805555555555558</v>
      </c>
      <c r="D6" s="8">
        <f t="shared" si="0"/>
        <v>0.38541666666666669</v>
      </c>
      <c r="F6" s="9" t="s">
        <v>204</v>
      </c>
      <c r="G6" s="10" t="s">
        <v>126</v>
      </c>
      <c r="H6" s="10" t="s">
        <v>121</v>
      </c>
      <c r="I6" s="3">
        <v>3560</v>
      </c>
      <c r="J6" s="9" t="str">
        <f t="shared" si="1"/>
        <v/>
      </c>
    </row>
    <row r="7" spans="1:10" x14ac:dyDescent="0.3">
      <c r="A7" s="1" t="s">
        <v>112</v>
      </c>
      <c r="B7" s="1">
        <v>7</v>
      </c>
      <c r="C7" s="8">
        <v>0.36805555555555558</v>
      </c>
      <c r="D7" s="8">
        <f t="shared" si="0"/>
        <v>0.3923611111111111</v>
      </c>
      <c r="F7" s="9" t="s">
        <v>133</v>
      </c>
      <c r="G7" s="10" t="s">
        <v>128</v>
      </c>
      <c r="H7" s="10" t="s">
        <v>118</v>
      </c>
      <c r="I7" s="3">
        <v>6950</v>
      </c>
      <c r="J7" s="9" t="str">
        <f t="shared" si="1"/>
        <v>최우수부서</v>
      </c>
    </row>
    <row r="8" spans="1:10" x14ac:dyDescent="0.3">
      <c r="A8" s="1" t="s">
        <v>113</v>
      </c>
      <c r="B8" s="1">
        <v>7</v>
      </c>
      <c r="C8" s="8">
        <v>0.38194444444444442</v>
      </c>
      <c r="D8" s="8">
        <f t="shared" si="0"/>
        <v>0.40625</v>
      </c>
      <c r="F8" s="9" t="s">
        <v>134</v>
      </c>
      <c r="G8" s="10" t="s">
        <v>127</v>
      </c>
      <c r="H8" s="10" t="s">
        <v>122</v>
      </c>
      <c r="I8" s="3">
        <v>2890</v>
      </c>
      <c r="J8" s="9" t="str">
        <f t="shared" si="1"/>
        <v/>
      </c>
    </row>
    <row r="9" spans="1:10" x14ac:dyDescent="0.3">
      <c r="A9" s="1" t="s">
        <v>115</v>
      </c>
      <c r="B9" s="1">
        <v>9</v>
      </c>
      <c r="C9" s="8">
        <v>0.38194444444444442</v>
      </c>
      <c r="D9" s="8">
        <f t="shared" si="0"/>
        <v>0.41319444444444442</v>
      </c>
      <c r="F9" s="9" t="s">
        <v>134</v>
      </c>
      <c r="G9" s="10" t="s">
        <v>129</v>
      </c>
      <c r="H9" s="10" t="s">
        <v>123</v>
      </c>
      <c r="I9" s="3">
        <v>3100</v>
      </c>
      <c r="J9" s="9" t="str">
        <f t="shared" si="1"/>
        <v/>
      </c>
    </row>
    <row r="10" spans="1:10" x14ac:dyDescent="0.3">
      <c r="A10" s="1" t="s">
        <v>114</v>
      </c>
      <c r="B10" s="1">
        <v>8</v>
      </c>
      <c r="C10" s="8">
        <v>0.39583333333333331</v>
      </c>
      <c r="D10" s="8">
        <f t="shared" si="0"/>
        <v>0.4236111111111111</v>
      </c>
      <c r="F10" s="9" t="s">
        <v>136</v>
      </c>
      <c r="G10" s="10" t="s">
        <v>130</v>
      </c>
      <c r="H10" s="10" t="s">
        <v>124</v>
      </c>
      <c r="I10" s="3">
        <v>4570</v>
      </c>
      <c r="J10" s="9" t="str">
        <f t="shared" si="1"/>
        <v/>
      </c>
    </row>
    <row r="12" spans="1:10" x14ac:dyDescent="0.3">
      <c r="A12" s="11" t="s">
        <v>16</v>
      </c>
      <c r="B12" s="12" t="s">
        <v>139</v>
      </c>
      <c r="G12" s="13" t="s">
        <v>29</v>
      </c>
      <c r="H12" s="5" t="s">
        <v>228</v>
      </c>
      <c r="I12" s="14"/>
      <c r="J12" s="14"/>
    </row>
    <row r="13" spans="1:10" x14ac:dyDescent="0.3">
      <c r="A13" s="15" t="s">
        <v>137</v>
      </c>
      <c r="B13" s="15" t="s">
        <v>17</v>
      </c>
      <c r="C13" s="15" t="s">
        <v>18</v>
      </c>
      <c r="D13" s="15" t="s">
        <v>138</v>
      </c>
      <c r="G13" s="16" t="s">
        <v>224</v>
      </c>
      <c r="H13" s="16" t="s">
        <v>225</v>
      </c>
      <c r="I13" s="16" t="s">
        <v>226</v>
      </c>
      <c r="J13" s="17" t="s">
        <v>227</v>
      </c>
    </row>
    <row r="14" spans="1:10" x14ac:dyDescent="0.3">
      <c r="A14" s="1" t="s">
        <v>153</v>
      </c>
      <c r="B14" s="3" t="s">
        <v>142</v>
      </c>
      <c r="C14" s="3" t="s">
        <v>20</v>
      </c>
      <c r="D14" s="3">
        <v>12405</v>
      </c>
      <c r="G14" s="16" t="s">
        <v>156</v>
      </c>
      <c r="H14" s="25">
        <v>1</v>
      </c>
      <c r="I14" s="25">
        <v>30</v>
      </c>
      <c r="J14" s="25" t="str">
        <f ca="1">RANDBETWEEN(H14,I14)&amp;"층"</f>
        <v>21층</v>
      </c>
    </row>
    <row r="15" spans="1:10" x14ac:dyDescent="0.3">
      <c r="A15" s="1" t="s">
        <v>146</v>
      </c>
      <c r="B15" s="3" t="s">
        <v>147</v>
      </c>
      <c r="C15" s="3" t="s">
        <v>23</v>
      </c>
      <c r="D15" s="3">
        <v>25100</v>
      </c>
      <c r="G15" s="16" t="s">
        <v>157</v>
      </c>
      <c r="H15" s="25">
        <v>1</v>
      </c>
      <c r="I15" s="25">
        <v>30</v>
      </c>
      <c r="J15" s="25" t="str">
        <f t="shared" ref="J15:J24" ca="1" si="2">RANDBETWEEN(H15,I15)&amp;"층"</f>
        <v>26층</v>
      </c>
    </row>
    <row r="16" spans="1:10" x14ac:dyDescent="0.3">
      <c r="A16" s="1" t="s">
        <v>154</v>
      </c>
      <c r="B16" s="3" t="s">
        <v>140</v>
      </c>
      <c r="C16" s="3" t="s">
        <v>20</v>
      </c>
      <c r="D16" s="3">
        <v>11478</v>
      </c>
      <c r="G16" s="16" t="s">
        <v>158</v>
      </c>
      <c r="H16" s="25">
        <v>1</v>
      </c>
      <c r="I16" s="25">
        <v>30</v>
      </c>
      <c r="J16" s="25" t="str">
        <f t="shared" ca="1" si="2"/>
        <v>25층</v>
      </c>
    </row>
    <row r="17" spans="1:10" x14ac:dyDescent="0.3">
      <c r="A17" s="1" t="s">
        <v>152</v>
      </c>
      <c r="B17" s="3" t="s">
        <v>142</v>
      </c>
      <c r="C17" s="3" t="s">
        <v>20</v>
      </c>
      <c r="D17" s="3">
        <v>30100</v>
      </c>
      <c r="G17" s="16" t="s">
        <v>159</v>
      </c>
      <c r="H17" s="25">
        <v>1</v>
      </c>
      <c r="I17" s="25">
        <v>30</v>
      </c>
      <c r="J17" s="25" t="str">
        <f t="shared" ca="1" si="2"/>
        <v>1층</v>
      </c>
    </row>
    <row r="18" spans="1:10" x14ac:dyDescent="0.3">
      <c r="A18" s="1" t="s">
        <v>143</v>
      </c>
      <c r="B18" s="3" t="s">
        <v>142</v>
      </c>
      <c r="C18" s="3" t="s">
        <v>20</v>
      </c>
      <c r="D18" s="3">
        <v>33542</v>
      </c>
      <c r="G18" s="16" t="s">
        <v>160</v>
      </c>
      <c r="H18" s="25">
        <v>1</v>
      </c>
      <c r="I18" s="25">
        <v>30</v>
      </c>
      <c r="J18" s="25" t="str">
        <f t="shared" ca="1" si="2"/>
        <v>24층</v>
      </c>
    </row>
    <row r="19" spans="1:10" x14ac:dyDescent="0.3">
      <c r="A19" s="1" t="s">
        <v>151</v>
      </c>
      <c r="B19" s="3" t="s">
        <v>141</v>
      </c>
      <c r="C19" s="3" t="s">
        <v>21</v>
      </c>
      <c r="D19" s="3">
        <v>24513</v>
      </c>
      <c r="G19" s="16" t="s">
        <v>161</v>
      </c>
      <c r="H19" s="25">
        <v>1</v>
      </c>
      <c r="I19" s="25">
        <v>30</v>
      </c>
      <c r="J19" s="25" t="str">
        <f t="shared" ca="1" si="2"/>
        <v>28층</v>
      </c>
    </row>
    <row r="20" spans="1:10" x14ac:dyDescent="0.3">
      <c r="A20" s="1" t="s">
        <v>144</v>
      </c>
      <c r="B20" s="3" t="s">
        <v>145</v>
      </c>
      <c r="C20" s="3" t="s">
        <v>20</v>
      </c>
      <c r="D20" s="3">
        <v>9942</v>
      </c>
      <c r="G20" s="16" t="s">
        <v>162</v>
      </c>
      <c r="H20" s="25">
        <v>1</v>
      </c>
      <c r="I20" s="25">
        <v>30</v>
      </c>
      <c r="J20" s="25" t="str">
        <f t="shared" ca="1" si="2"/>
        <v>26층</v>
      </c>
    </row>
    <row r="21" spans="1:10" x14ac:dyDescent="0.3">
      <c r="A21" s="1" t="s">
        <v>148</v>
      </c>
      <c r="B21" s="3" t="s">
        <v>141</v>
      </c>
      <c r="C21" s="3" t="s">
        <v>21</v>
      </c>
      <c r="D21" s="3">
        <v>15684</v>
      </c>
      <c r="G21" s="16" t="s">
        <v>165</v>
      </c>
      <c r="H21" s="25">
        <v>1</v>
      </c>
      <c r="I21" s="25">
        <v>30</v>
      </c>
      <c r="J21" s="25" t="str">
        <f t="shared" ca="1" si="2"/>
        <v>21층</v>
      </c>
    </row>
    <row r="22" spans="1:10" x14ac:dyDescent="0.3">
      <c r="A22" s="1" t="s">
        <v>149</v>
      </c>
      <c r="B22" s="3" t="s">
        <v>22</v>
      </c>
      <c r="C22" s="3" t="s">
        <v>21</v>
      </c>
      <c r="D22" s="3">
        <v>14214</v>
      </c>
      <c r="E22" s="18" t="s">
        <v>24</v>
      </c>
      <c r="G22" s="16" t="s">
        <v>164</v>
      </c>
      <c r="H22" s="25">
        <v>1</v>
      </c>
      <c r="I22" s="25">
        <v>30</v>
      </c>
      <c r="J22" s="25" t="str">
        <f t="shared" ca="1" si="2"/>
        <v>13층</v>
      </c>
    </row>
    <row r="23" spans="1:10" x14ac:dyDescent="0.3">
      <c r="A23" s="1" t="s">
        <v>150</v>
      </c>
      <c r="B23" s="3" t="s">
        <v>19</v>
      </c>
      <c r="C23" s="3" t="s">
        <v>21</v>
      </c>
      <c r="D23" s="3">
        <v>13548</v>
      </c>
      <c r="E23" s="15" t="s">
        <v>17</v>
      </c>
      <c r="G23" s="16" t="s">
        <v>166</v>
      </c>
      <c r="H23" s="25">
        <v>1</v>
      </c>
      <c r="I23" s="25">
        <v>30</v>
      </c>
      <c r="J23" s="25" t="str">
        <f t="shared" ca="1" si="2"/>
        <v>16층</v>
      </c>
    </row>
    <row r="24" spans="1:10" x14ac:dyDescent="0.3">
      <c r="A24" s="27" t="s">
        <v>155</v>
      </c>
      <c r="B24" s="27"/>
      <c r="C24" s="27"/>
      <c r="D24" s="19">
        <f>DAVERAGE(A13:D23,D13,E23:E24)</f>
        <v>21881.25</v>
      </c>
      <c r="E24" s="3" t="s">
        <v>140</v>
      </c>
      <c r="G24" s="16" t="s">
        <v>163</v>
      </c>
      <c r="H24" s="25">
        <v>1</v>
      </c>
      <c r="I24" s="25">
        <v>30</v>
      </c>
      <c r="J24" s="25" t="str">
        <f t="shared" ca="1" si="2"/>
        <v>20층</v>
      </c>
    </row>
    <row r="26" spans="1:10" x14ac:dyDescent="0.3">
      <c r="A26" s="11" t="s">
        <v>30</v>
      </c>
      <c r="B26" s="12" t="s">
        <v>169</v>
      </c>
    </row>
    <row r="27" spans="1:10" x14ac:dyDescent="0.3">
      <c r="A27" s="1" t="s">
        <v>168</v>
      </c>
      <c r="B27" s="1" t="s">
        <v>31</v>
      </c>
      <c r="C27" s="1" t="s">
        <v>167</v>
      </c>
      <c r="D27" s="1" t="s">
        <v>32</v>
      </c>
      <c r="E27" s="6" t="s">
        <v>33</v>
      </c>
    </row>
    <row r="28" spans="1:10" x14ac:dyDescent="0.3">
      <c r="A28" s="16" t="s">
        <v>185</v>
      </c>
      <c r="B28" s="1" t="s">
        <v>181</v>
      </c>
      <c r="C28" s="1" t="s">
        <v>177</v>
      </c>
      <c r="D28" s="1" t="s">
        <v>180</v>
      </c>
      <c r="E28" s="1" t="str">
        <f>CHOOSE(LEFT(B28,1),"공인중개사","사회복지사","주택관리사")</f>
        <v>주택관리사</v>
      </c>
    </row>
    <row r="29" spans="1:10" x14ac:dyDescent="0.3">
      <c r="A29" s="16" t="s">
        <v>186</v>
      </c>
      <c r="B29" s="1" t="s">
        <v>176</v>
      </c>
      <c r="C29" s="1" t="s">
        <v>177</v>
      </c>
      <c r="D29" s="1" t="s">
        <v>175</v>
      </c>
      <c r="E29" s="1" t="str">
        <f t="shared" ref="E29:E37" si="3">CHOOSE(LEFT(B29,1),"공인중개사","사회복지사","주택관리사")</f>
        <v>사회복지사</v>
      </c>
    </row>
    <row r="30" spans="1:10" x14ac:dyDescent="0.3">
      <c r="A30" s="16" t="s">
        <v>187</v>
      </c>
      <c r="B30" s="1" t="s">
        <v>183</v>
      </c>
      <c r="C30" s="1" t="s">
        <v>182</v>
      </c>
      <c r="D30" s="1" t="s">
        <v>184</v>
      </c>
      <c r="E30" s="1" t="str">
        <f t="shared" si="3"/>
        <v>주택관리사</v>
      </c>
    </row>
    <row r="31" spans="1:10" x14ac:dyDescent="0.3">
      <c r="A31" s="16" t="s">
        <v>188</v>
      </c>
      <c r="B31" s="1" t="s">
        <v>171</v>
      </c>
      <c r="C31" s="1" t="s">
        <v>174</v>
      </c>
      <c r="D31" s="1" t="s">
        <v>170</v>
      </c>
      <c r="E31" s="1" t="str">
        <f t="shared" si="3"/>
        <v>공인중개사</v>
      </c>
    </row>
    <row r="32" spans="1:10" x14ac:dyDescent="0.3">
      <c r="A32" s="16" t="s">
        <v>189</v>
      </c>
      <c r="B32" s="1" t="s">
        <v>179</v>
      </c>
      <c r="C32" s="1" t="s">
        <v>178</v>
      </c>
      <c r="D32" s="1" t="s">
        <v>175</v>
      </c>
      <c r="E32" s="1" t="str">
        <f t="shared" si="3"/>
        <v>사회복지사</v>
      </c>
    </row>
    <row r="33" spans="1:5" x14ac:dyDescent="0.3">
      <c r="A33" s="16" t="s">
        <v>190</v>
      </c>
      <c r="B33" s="1" t="s">
        <v>183</v>
      </c>
      <c r="C33" s="1" t="s">
        <v>182</v>
      </c>
      <c r="D33" s="1" t="s">
        <v>184</v>
      </c>
      <c r="E33" s="1" t="str">
        <f t="shared" si="3"/>
        <v>주택관리사</v>
      </c>
    </row>
    <row r="34" spans="1:5" x14ac:dyDescent="0.3">
      <c r="A34" s="16" t="s">
        <v>191</v>
      </c>
      <c r="B34" s="1" t="s">
        <v>172</v>
      </c>
      <c r="C34" s="1" t="s">
        <v>173</v>
      </c>
      <c r="D34" s="1" t="s">
        <v>170</v>
      </c>
      <c r="E34" s="1" t="str">
        <f t="shared" si="3"/>
        <v>공인중개사</v>
      </c>
    </row>
    <row r="35" spans="1:5" x14ac:dyDescent="0.3">
      <c r="A35" s="16" t="s">
        <v>192</v>
      </c>
      <c r="B35" s="1" t="s">
        <v>176</v>
      </c>
      <c r="C35" s="1" t="s">
        <v>177</v>
      </c>
      <c r="D35" s="1" t="s">
        <v>175</v>
      </c>
      <c r="E35" s="1" t="str">
        <f t="shared" si="3"/>
        <v>사회복지사</v>
      </c>
    </row>
    <row r="36" spans="1:5" x14ac:dyDescent="0.3">
      <c r="A36" s="16" t="s">
        <v>193</v>
      </c>
      <c r="B36" s="1" t="s">
        <v>181</v>
      </c>
      <c r="C36" s="1" t="s">
        <v>177</v>
      </c>
      <c r="D36" s="1" t="s">
        <v>180</v>
      </c>
      <c r="E36" s="1" t="str">
        <f t="shared" si="3"/>
        <v>주택관리사</v>
      </c>
    </row>
    <row r="37" spans="1:5" x14ac:dyDescent="0.3">
      <c r="A37" s="1" t="s">
        <v>194</v>
      </c>
      <c r="B37" s="1" t="s">
        <v>171</v>
      </c>
      <c r="C37" s="1" t="s">
        <v>174</v>
      </c>
      <c r="D37" s="1" t="s">
        <v>170</v>
      </c>
      <c r="E37" s="1" t="str">
        <f t="shared" si="3"/>
        <v>공인중개사</v>
      </c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53A9A-7B28-472F-8D2E-EB68E79CF90A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4" max="6" width="11.875" bestFit="1" customWidth="1" outlineLevel="1"/>
  </cols>
  <sheetData>
    <row r="1" spans="2:6" ht="17.25" thickBot="1" x14ac:dyDescent="0.35"/>
    <row r="2" spans="2:6" x14ac:dyDescent="0.3">
      <c r="B2" s="37" t="s">
        <v>238</v>
      </c>
      <c r="C2" s="38"/>
      <c r="D2" s="44"/>
      <c r="E2" s="44"/>
      <c r="F2" s="44"/>
    </row>
    <row r="3" spans="2:6" collapsed="1" x14ac:dyDescent="0.3">
      <c r="B3" s="36"/>
      <c r="C3" s="36"/>
      <c r="D3" s="45" t="s">
        <v>240</v>
      </c>
      <c r="E3" s="45" t="s">
        <v>235</v>
      </c>
      <c r="F3" s="45" t="s">
        <v>237</v>
      </c>
    </row>
    <row r="4" spans="2:6" ht="40.5" hidden="1" outlineLevel="1" x14ac:dyDescent="0.3">
      <c r="B4" s="40"/>
      <c r="C4" s="40"/>
      <c r="D4" s="33"/>
      <c r="E4" s="47" t="s">
        <v>236</v>
      </c>
      <c r="F4" s="47" t="s">
        <v>236</v>
      </c>
    </row>
    <row r="5" spans="2:6" x14ac:dyDescent="0.3">
      <c r="B5" s="41" t="s">
        <v>239</v>
      </c>
      <c r="C5" s="42"/>
      <c r="D5" s="39"/>
      <c r="E5" s="39"/>
      <c r="F5" s="39"/>
    </row>
    <row r="6" spans="2:6" outlineLevel="1" x14ac:dyDescent="0.3">
      <c r="B6" s="40"/>
      <c r="C6" s="40" t="s">
        <v>232</v>
      </c>
      <c r="D6" s="34">
        <v>200</v>
      </c>
      <c r="E6" s="46">
        <v>250</v>
      </c>
      <c r="F6" s="46">
        <v>150</v>
      </c>
    </row>
    <row r="7" spans="2:6" outlineLevel="1" x14ac:dyDescent="0.3">
      <c r="B7" s="40"/>
      <c r="C7" s="40" t="s">
        <v>233</v>
      </c>
      <c r="D7" s="34">
        <v>650000</v>
      </c>
      <c r="E7" s="46">
        <v>700000</v>
      </c>
      <c r="F7" s="46">
        <v>600000</v>
      </c>
    </row>
    <row r="8" spans="2:6" x14ac:dyDescent="0.3">
      <c r="B8" s="41" t="s">
        <v>241</v>
      </c>
      <c r="C8" s="42"/>
      <c r="D8" s="39"/>
      <c r="E8" s="39"/>
      <c r="F8" s="39"/>
    </row>
    <row r="9" spans="2:6" ht="17.25" outlineLevel="1" thickBot="1" x14ac:dyDescent="0.35">
      <c r="B9" s="43"/>
      <c r="C9" s="43" t="s">
        <v>234</v>
      </c>
      <c r="D9" s="35">
        <v>13000000</v>
      </c>
      <c r="E9" s="35">
        <v>23750000</v>
      </c>
      <c r="F9" s="35">
        <v>3750000</v>
      </c>
    </row>
    <row r="10" spans="2:6" x14ac:dyDescent="0.3">
      <c r="B10" t="s">
        <v>242</v>
      </c>
    </row>
    <row r="11" spans="2:6" x14ac:dyDescent="0.3">
      <c r="B11" t="s">
        <v>243</v>
      </c>
    </row>
    <row r="12" spans="2:6" x14ac:dyDescent="0.3">
      <c r="B12" t="s">
        <v>244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>
      <selection activeCell="E6" sqref="E6"/>
    </sheetView>
  </sheetViews>
  <sheetFormatPr defaultRowHeight="16.5" x14ac:dyDescent="0.3"/>
  <cols>
    <col min="2" max="2" width="12.625" bestFit="1" customWidth="1"/>
    <col min="3" max="3" width="4.625" customWidth="1"/>
    <col min="5" max="5" width="12.625" bestFit="1" customWidth="1"/>
  </cols>
  <sheetData>
    <row r="1" spans="1:5" ht="20.25" x14ac:dyDescent="0.3">
      <c r="A1" s="26" t="s">
        <v>203</v>
      </c>
      <c r="B1" s="26"/>
      <c r="C1" s="26"/>
      <c r="D1" s="26"/>
      <c r="E1" s="26"/>
    </row>
    <row r="3" spans="1:5" x14ac:dyDescent="0.3">
      <c r="A3" s="1" t="s">
        <v>195</v>
      </c>
      <c r="B3" s="1" t="s">
        <v>202</v>
      </c>
      <c r="D3" s="1" t="s">
        <v>199</v>
      </c>
      <c r="E3" s="3">
        <f>B5*B4*70%</f>
        <v>91000000</v>
      </c>
    </row>
    <row r="4" spans="1:5" x14ac:dyDescent="0.3">
      <c r="A4" s="1" t="s">
        <v>197</v>
      </c>
      <c r="B4" s="3">
        <v>200</v>
      </c>
      <c r="D4" s="1" t="s">
        <v>200</v>
      </c>
      <c r="E4" s="3">
        <v>15000000</v>
      </c>
    </row>
    <row r="5" spans="1:5" x14ac:dyDescent="0.3">
      <c r="A5" s="1" t="s">
        <v>198</v>
      </c>
      <c r="B5" s="3">
        <v>650000</v>
      </c>
      <c r="D5" s="1" t="s">
        <v>201</v>
      </c>
      <c r="E5" s="3">
        <f>B4*55000</f>
        <v>11000000</v>
      </c>
    </row>
    <row r="6" spans="1:5" x14ac:dyDescent="0.3">
      <c r="A6" s="1" t="s">
        <v>196</v>
      </c>
      <c r="B6" s="3">
        <f>B4*B5</f>
        <v>130000000</v>
      </c>
      <c r="D6" s="1" t="s">
        <v>34</v>
      </c>
      <c r="E6" s="3">
        <f>B6-SUM(E3:E5)</f>
        <v>13000000</v>
      </c>
    </row>
  </sheetData>
  <scenarios current="0" sqref="E6">
    <scenario name="인상증가" locked="1" count="2" user="mbc" comment="만든 사람 mbc 날짜 2026-09-10">
      <inputCells r="B4" val="250" numFmtId="41"/>
      <inputCells r="B5" val="700000" numFmtId="41"/>
    </scenario>
    <scenario name="인하감소" locked="1" count="2" user="mbc" comment="만든 사람 mbc 날짜 2026-09-10">
      <inputCells r="B4" val="150" numFmtId="41"/>
      <inputCells r="B5" val="600000" numFmtId="41"/>
    </scenario>
  </scenarios>
  <mergeCells count="1">
    <mergeCell ref="A1:E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>
      <selection activeCell="F9" sqref="F9:I13"/>
    </sheetView>
  </sheetViews>
  <sheetFormatPr defaultRowHeight="16.5" x14ac:dyDescent="0.3"/>
  <sheetData>
    <row r="1" spans="1:9" x14ac:dyDescent="0.3">
      <c r="A1" s="4" t="s">
        <v>35</v>
      </c>
      <c r="B1" s="20" t="s">
        <v>36</v>
      </c>
      <c r="C1" s="20"/>
      <c r="D1" s="21" t="s">
        <v>209</v>
      </c>
      <c r="F1" s="4" t="s">
        <v>37</v>
      </c>
      <c r="G1" s="20" t="s">
        <v>38</v>
      </c>
      <c r="H1" s="20"/>
      <c r="I1" s="21" t="s">
        <v>209</v>
      </c>
    </row>
    <row r="2" spans="1:9" x14ac:dyDescent="0.3">
      <c r="A2" s="1" t="s">
        <v>39</v>
      </c>
      <c r="B2" s="1" t="s">
        <v>40</v>
      </c>
      <c r="C2" s="1" t="s">
        <v>41</v>
      </c>
      <c r="D2" s="1" t="s">
        <v>42</v>
      </c>
      <c r="F2" s="1" t="s">
        <v>39</v>
      </c>
      <c r="G2" s="1" t="s">
        <v>43</v>
      </c>
      <c r="H2" s="1" t="s">
        <v>44</v>
      </c>
      <c r="I2" s="1" t="s">
        <v>45</v>
      </c>
    </row>
    <row r="3" spans="1:9" x14ac:dyDescent="0.3">
      <c r="A3" s="1" t="s">
        <v>205</v>
      </c>
      <c r="B3" s="22">
        <v>5800</v>
      </c>
      <c r="C3" s="22">
        <v>6800</v>
      </c>
      <c r="D3" s="22">
        <v>7200</v>
      </c>
      <c r="F3" s="1" t="s">
        <v>205</v>
      </c>
      <c r="G3" s="22">
        <v>3800</v>
      </c>
      <c r="H3" s="22">
        <v>4800</v>
      </c>
      <c r="I3" s="22">
        <v>5100</v>
      </c>
    </row>
    <row r="4" spans="1:9" x14ac:dyDescent="0.3">
      <c r="A4" s="1" t="s">
        <v>206</v>
      </c>
      <c r="B4" s="22">
        <v>4500</v>
      </c>
      <c r="C4" s="22">
        <v>4700</v>
      </c>
      <c r="D4" s="22">
        <v>4800</v>
      </c>
      <c r="F4" s="1" t="s">
        <v>206</v>
      </c>
      <c r="G4" s="22">
        <v>2800</v>
      </c>
      <c r="H4" s="22">
        <v>3100</v>
      </c>
      <c r="I4" s="22">
        <v>3200</v>
      </c>
    </row>
    <row r="5" spans="1:9" x14ac:dyDescent="0.3">
      <c r="A5" s="1" t="s">
        <v>207</v>
      </c>
      <c r="B5" s="22">
        <v>5200</v>
      </c>
      <c r="C5" s="22">
        <v>5500</v>
      </c>
      <c r="D5" s="22">
        <v>5500</v>
      </c>
      <c r="F5" s="1" t="s">
        <v>207</v>
      </c>
      <c r="G5" s="22">
        <v>3300</v>
      </c>
      <c r="H5" s="22">
        <v>3400</v>
      </c>
      <c r="I5" s="22">
        <v>3500</v>
      </c>
    </row>
    <row r="6" spans="1:9" x14ac:dyDescent="0.3">
      <c r="A6" s="1" t="s">
        <v>208</v>
      </c>
      <c r="B6" s="22">
        <v>6200</v>
      </c>
      <c r="C6" s="22">
        <v>5890</v>
      </c>
      <c r="D6" s="22">
        <v>6000</v>
      </c>
      <c r="F6" s="1" t="s">
        <v>208</v>
      </c>
      <c r="G6" s="22">
        <v>4200</v>
      </c>
      <c r="H6" s="22">
        <v>4100</v>
      </c>
      <c r="I6" s="22">
        <v>3900</v>
      </c>
    </row>
    <row r="8" spans="1:9" x14ac:dyDescent="0.3">
      <c r="A8" s="4" t="s">
        <v>46</v>
      </c>
      <c r="B8" s="20" t="s">
        <v>47</v>
      </c>
      <c r="C8" s="20"/>
      <c r="D8" s="21" t="s">
        <v>209</v>
      </c>
      <c r="F8" s="4" t="s">
        <v>29</v>
      </c>
      <c r="G8" s="20" t="s">
        <v>48</v>
      </c>
      <c r="H8" s="20"/>
      <c r="I8" s="21" t="s">
        <v>209</v>
      </c>
    </row>
    <row r="9" spans="1:9" x14ac:dyDescent="0.3">
      <c r="A9" s="1" t="s">
        <v>49</v>
      </c>
      <c r="B9" s="1" t="s">
        <v>43</v>
      </c>
      <c r="C9" s="1" t="s">
        <v>50</v>
      </c>
      <c r="D9" s="1" t="s">
        <v>51</v>
      </c>
      <c r="F9" s="1" t="s">
        <v>49</v>
      </c>
      <c r="G9" s="1" t="s">
        <v>40</v>
      </c>
      <c r="H9" s="1" t="s">
        <v>52</v>
      </c>
      <c r="I9" s="1" t="s">
        <v>42</v>
      </c>
    </row>
    <row r="10" spans="1:9" x14ac:dyDescent="0.3">
      <c r="A10" s="1" t="s">
        <v>205</v>
      </c>
      <c r="B10" s="22">
        <v>2700</v>
      </c>
      <c r="C10" s="22">
        <v>2600</v>
      </c>
      <c r="D10" s="22">
        <v>2400</v>
      </c>
      <c r="F10" s="1" t="s">
        <v>205</v>
      </c>
      <c r="G10" s="22">
        <v>12300</v>
      </c>
      <c r="H10" s="22">
        <v>14200</v>
      </c>
      <c r="I10" s="22">
        <v>14700</v>
      </c>
    </row>
    <row r="11" spans="1:9" x14ac:dyDescent="0.3">
      <c r="A11" s="1" t="s">
        <v>206</v>
      </c>
      <c r="B11" s="22">
        <v>2500</v>
      </c>
      <c r="C11" s="22">
        <v>2600</v>
      </c>
      <c r="D11" s="22">
        <v>2700</v>
      </c>
      <c r="F11" s="1" t="s">
        <v>206</v>
      </c>
      <c r="G11" s="22">
        <v>9800</v>
      </c>
      <c r="H11" s="22">
        <v>10400</v>
      </c>
      <c r="I11" s="22">
        <v>10700</v>
      </c>
    </row>
    <row r="12" spans="1:9" x14ac:dyDescent="0.3">
      <c r="A12" s="1" t="s">
        <v>207</v>
      </c>
      <c r="B12" s="22">
        <v>3100</v>
      </c>
      <c r="C12" s="22">
        <v>2900</v>
      </c>
      <c r="D12" s="22">
        <v>3200</v>
      </c>
      <c r="F12" s="1" t="s">
        <v>207</v>
      </c>
      <c r="G12" s="22">
        <v>11600</v>
      </c>
      <c r="H12" s="22">
        <v>11800</v>
      </c>
      <c r="I12" s="22">
        <v>12200</v>
      </c>
    </row>
    <row r="13" spans="1:9" x14ac:dyDescent="0.3">
      <c r="A13" s="1" t="s">
        <v>208</v>
      </c>
      <c r="B13" s="22">
        <v>3600</v>
      </c>
      <c r="C13" s="22">
        <v>2800</v>
      </c>
      <c r="D13" s="22">
        <v>3400</v>
      </c>
      <c r="F13" s="1" t="s">
        <v>208</v>
      </c>
      <c r="G13" s="22">
        <v>14000</v>
      </c>
      <c r="H13" s="22">
        <v>12790</v>
      </c>
      <c r="I13" s="22">
        <v>13300</v>
      </c>
    </row>
  </sheetData>
  <dataConsolidate leftLabels="1" topLabels="1">
    <dataRefs count="3">
      <dataRef ref="A2:D6" sheet="분석작업-2"/>
      <dataRef ref="F2:I6" sheet="분석작업-2"/>
      <dataRef ref="A9:D13" sheet="분석작업-2"/>
    </dataRefs>
  </dataConsolid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>
      <selection activeCell="A3" sqref="A3:G3"/>
    </sheetView>
  </sheetViews>
  <sheetFormatPr defaultRowHeight="16.5" x14ac:dyDescent="0.3"/>
  <sheetData>
    <row r="1" spans="1:7" ht="20.25" x14ac:dyDescent="0.3">
      <c r="A1" s="26" t="s">
        <v>213</v>
      </c>
      <c r="B1" s="26"/>
      <c r="C1" s="26"/>
      <c r="D1" s="26"/>
      <c r="E1" s="26"/>
      <c r="F1" s="26"/>
      <c r="G1" s="26"/>
    </row>
    <row r="3" spans="1:7" x14ac:dyDescent="0.3">
      <c r="A3" s="48" t="s">
        <v>53</v>
      </c>
      <c r="B3" s="48" t="s">
        <v>54</v>
      </c>
      <c r="C3" s="48" t="s">
        <v>210</v>
      </c>
      <c r="D3" s="48" t="s">
        <v>211</v>
      </c>
      <c r="E3" s="48" t="s">
        <v>214</v>
      </c>
      <c r="F3" s="48" t="s">
        <v>212</v>
      </c>
      <c r="G3" s="48" t="s">
        <v>55</v>
      </c>
    </row>
    <row r="4" spans="1:7" x14ac:dyDescent="0.3">
      <c r="A4" s="16" t="s">
        <v>185</v>
      </c>
      <c r="B4" s="1">
        <v>75</v>
      </c>
      <c r="C4" s="1">
        <v>80</v>
      </c>
      <c r="D4" s="1">
        <v>78</v>
      </c>
      <c r="E4" s="1">
        <v>85</v>
      </c>
      <c r="F4" s="1">
        <v>80</v>
      </c>
      <c r="G4" s="1">
        <f>SUM(B4:F4)</f>
        <v>398</v>
      </c>
    </row>
    <row r="5" spans="1:7" x14ac:dyDescent="0.3">
      <c r="A5" s="16" t="s">
        <v>186</v>
      </c>
      <c r="B5" s="1">
        <v>94</v>
      </c>
      <c r="C5" s="1">
        <v>92</v>
      </c>
      <c r="D5" s="1">
        <v>95</v>
      </c>
      <c r="E5" s="1">
        <v>96</v>
      </c>
      <c r="F5" s="1">
        <v>96</v>
      </c>
      <c r="G5" s="1">
        <f t="shared" ref="G5:G13" si="0">SUM(B5:F5)</f>
        <v>473</v>
      </c>
    </row>
    <row r="6" spans="1:7" x14ac:dyDescent="0.3">
      <c r="A6" s="16" t="s">
        <v>187</v>
      </c>
      <c r="B6" s="1">
        <v>78</v>
      </c>
      <c r="C6" s="1">
        <v>85</v>
      </c>
      <c r="D6" s="1">
        <v>80</v>
      </c>
      <c r="E6" s="1">
        <v>88</v>
      </c>
      <c r="F6" s="1">
        <v>78</v>
      </c>
      <c r="G6" s="1">
        <f t="shared" si="0"/>
        <v>409</v>
      </c>
    </row>
    <row r="7" spans="1:7" x14ac:dyDescent="0.3">
      <c r="A7" s="16" t="s">
        <v>188</v>
      </c>
      <c r="B7" s="1">
        <v>65</v>
      </c>
      <c r="C7" s="1">
        <v>55</v>
      </c>
      <c r="D7" s="1">
        <v>89</v>
      </c>
      <c r="E7" s="1">
        <v>75</v>
      </c>
      <c r="F7" s="1">
        <v>65</v>
      </c>
      <c r="G7" s="1">
        <f t="shared" si="0"/>
        <v>349</v>
      </c>
    </row>
    <row r="8" spans="1:7" x14ac:dyDescent="0.3">
      <c r="A8" s="16" t="s">
        <v>189</v>
      </c>
      <c r="B8" s="1">
        <v>89</v>
      </c>
      <c r="C8" s="1">
        <v>88</v>
      </c>
      <c r="D8" s="1">
        <v>87</v>
      </c>
      <c r="E8" s="1">
        <v>90</v>
      </c>
      <c r="F8" s="1">
        <v>95</v>
      </c>
      <c r="G8" s="1">
        <f t="shared" si="0"/>
        <v>449</v>
      </c>
    </row>
    <row r="9" spans="1:7" x14ac:dyDescent="0.3">
      <c r="A9" s="16" t="s">
        <v>190</v>
      </c>
      <c r="B9" s="1">
        <v>86</v>
      </c>
      <c r="C9" s="1">
        <v>98</v>
      </c>
      <c r="D9" s="1">
        <v>94</v>
      </c>
      <c r="E9" s="1">
        <v>75</v>
      </c>
      <c r="F9" s="1">
        <v>92</v>
      </c>
      <c r="G9" s="1">
        <f t="shared" si="0"/>
        <v>445</v>
      </c>
    </row>
    <row r="10" spans="1:7" x14ac:dyDescent="0.3">
      <c r="A10" s="16" t="s">
        <v>191</v>
      </c>
      <c r="B10" s="1">
        <v>77</v>
      </c>
      <c r="C10" s="1">
        <v>59</v>
      </c>
      <c r="D10" s="1">
        <v>88</v>
      </c>
      <c r="E10" s="1">
        <v>85</v>
      </c>
      <c r="F10" s="1">
        <v>94</v>
      </c>
      <c r="G10" s="1">
        <f t="shared" si="0"/>
        <v>403</v>
      </c>
    </row>
    <row r="11" spans="1:7" x14ac:dyDescent="0.3">
      <c r="A11" s="16" t="s">
        <v>192</v>
      </c>
      <c r="B11" s="1">
        <v>93</v>
      </c>
      <c r="C11" s="1">
        <v>95</v>
      </c>
      <c r="D11" s="1">
        <v>94</v>
      </c>
      <c r="E11" s="1">
        <v>92</v>
      </c>
      <c r="F11" s="1">
        <v>94</v>
      </c>
      <c r="G11" s="1">
        <f t="shared" si="0"/>
        <v>468</v>
      </c>
    </row>
    <row r="12" spans="1:7" x14ac:dyDescent="0.3">
      <c r="A12" s="16" t="s">
        <v>193</v>
      </c>
      <c r="B12" s="1">
        <v>92</v>
      </c>
      <c r="C12" s="1">
        <v>88</v>
      </c>
      <c r="D12" s="1">
        <v>65</v>
      </c>
      <c r="E12" s="1">
        <v>85</v>
      </c>
      <c r="F12" s="1">
        <v>75</v>
      </c>
      <c r="G12" s="1">
        <f t="shared" si="0"/>
        <v>405</v>
      </c>
    </row>
    <row r="13" spans="1:7" x14ac:dyDescent="0.3">
      <c r="A13" s="1" t="s">
        <v>194</v>
      </c>
      <c r="B13" s="1">
        <v>85</v>
      </c>
      <c r="C13" s="1">
        <v>86</v>
      </c>
      <c r="D13" s="1">
        <v>94</v>
      </c>
      <c r="E13" s="1">
        <v>89</v>
      </c>
      <c r="F13" s="1">
        <v>85</v>
      </c>
      <c r="G13" s="1">
        <f t="shared" si="0"/>
        <v>439</v>
      </c>
    </row>
  </sheetData>
  <mergeCells count="1">
    <mergeCell ref="A1:G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1</xdr:col>
                    <xdr:colOff>19050</xdr:colOff>
                    <xdr:row>14</xdr:row>
                    <xdr:rowOff>19050</xdr:rowOff>
                  </from>
                  <to>
                    <xdr:col>2</xdr:col>
                    <xdr:colOff>657225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topLeftCell="A4" workbookViewId="0">
      <selection activeCell="N22" sqref="N22"/>
    </sheetView>
  </sheetViews>
  <sheetFormatPr defaultRowHeight="16.5" x14ac:dyDescent="0.3"/>
  <cols>
    <col min="1" max="1" width="10.375" bestFit="1" customWidth="1"/>
    <col min="2" max="4" width="12.625" bestFit="1" customWidth="1"/>
  </cols>
  <sheetData>
    <row r="1" spans="1:4" ht="20.25" x14ac:dyDescent="0.3">
      <c r="A1" s="26" t="s">
        <v>229</v>
      </c>
      <c r="B1" s="26"/>
      <c r="C1" s="26"/>
      <c r="D1" s="26"/>
    </row>
    <row r="3" spans="1:4" x14ac:dyDescent="0.3">
      <c r="A3" s="1" t="s">
        <v>215</v>
      </c>
      <c r="B3" s="1" t="s">
        <v>220</v>
      </c>
      <c r="C3" s="1" t="s">
        <v>221</v>
      </c>
      <c r="D3" s="1" t="s">
        <v>222</v>
      </c>
    </row>
    <row r="4" spans="1:4" x14ac:dyDescent="0.3">
      <c r="A4" s="1" t="s">
        <v>216</v>
      </c>
      <c r="B4" s="23">
        <v>34500000</v>
      </c>
      <c r="C4" s="23">
        <v>36500000</v>
      </c>
      <c r="D4" s="23">
        <v>38000000</v>
      </c>
    </row>
    <row r="5" spans="1:4" x14ac:dyDescent="0.3">
      <c r="A5" s="1" t="s">
        <v>217</v>
      </c>
      <c r="B5" s="19">
        <v>31500000</v>
      </c>
      <c r="C5" s="19">
        <v>30500000</v>
      </c>
      <c r="D5" s="19">
        <v>34500000</v>
      </c>
    </row>
    <row r="6" spans="1:4" x14ac:dyDescent="0.3">
      <c r="A6" s="1" t="s">
        <v>218</v>
      </c>
      <c r="B6" s="24">
        <v>25200000</v>
      </c>
      <c r="C6" s="24">
        <v>27500000</v>
      </c>
      <c r="D6" s="24">
        <v>24800000</v>
      </c>
    </row>
    <row r="7" spans="1:4" x14ac:dyDescent="0.3">
      <c r="A7" s="1" t="s">
        <v>219</v>
      </c>
      <c r="B7" s="19">
        <v>38500000</v>
      </c>
      <c r="C7" s="19">
        <v>37200000</v>
      </c>
      <c r="D7" s="19">
        <v>39000000</v>
      </c>
    </row>
    <row r="8" spans="1:4" x14ac:dyDescent="0.3">
      <c r="A8" s="1" t="s">
        <v>223</v>
      </c>
      <c r="B8" s="19">
        <v>28500000</v>
      </c>
      <c r="C8" s="19">
        <v>24500000</v>
      </c>
      <c r="D8" s="19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가격</vt:lpstr>
      <vt:lpstr>순이익</vt:lpstr>
      <vt:lpstr>판매가격</vt:lpstr>
      <vt:lpstr>판매수량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2020-04-05T09:42:12Z</dcterms:created>
  <dcterms:modified xsi:type="dcterms:W3CDTF">2026-09-10T12:31:30Z</dcterms:modified>
</cp:coreProperties>
</file>