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93E2C0B7-3474-4B83-9E8D-0945B80889E9}" xr6:coauthVersionLast="47" xr6:coauthVersionMax="47" xr10:uidLastSave="{00000000-0000-0000-0000-000000000000}"/>
  <bookViews>
    <workbookView xWindow="22932" yWindow="-108" windowWidth="23256" windowHeight="12576" tabRatio="841" activeTab="1" xr2:uid="{00000000-000D-0000-FFFF-FFFF00000000}"/>
  </bookViews>
  <sheets>
    <sheet name="차트연습" sheetId="12" r:id="rId1"/>
    <sheet name="차트1" sheetId="4" r:id="rId2"/>
    <sheet name="차트1(결과)" sheetId="9" r:id="rId3"/>
    <sheet name="차트2" sheetId="7" r:id="rId4"/>
    <sheet name="차트2(결과)" sheetId="10" r:id="rId5"/>
    <sheet name="차트3" sheetId="11" r:id="rId6"/>
    <sheet name="차트3(결과)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2" i="11" l="1"/>
  <c r="B12" i="11"/>
  <c r="F11" i="11"/>
  <c r="B11" i="11"/>
  <c r="F10" i="11"/>
  <c r="B10" i="11"/>
  <c r="F9" i="11"/>
  <c r="B9" i="11"/>
  <c r="F8" i="11"/>
  <c r="B8" i="11"/>
  <c r="F7" i="11"/>
  <c r="B7" i="11"/>
  <c r="F6" i="11"/>
  <c r="B6" i="11"/>
  <c r="F5" i="11"/>
  <c r="B5" i="11"/>
  <c r="F4" i="11"/>
  <c r="B4" i="11"/>
  <c r="F12" i="8"/>
  <c r="B12" i="8"/>
  <c r="F11" i="8"/>
  <c r="B11" i="8"/>
  <c r="F10" i="8"/>
  <c r="B10" i="8"/>
  <c r="F9" i="8"/>
  <c r="B9" i="8"/>
  <c r="F8" i="8"/>
  <c r="B8" i="8"/>
  <c r="F7" i="8"/>
  <c r="B7" i="8"/>
  <c r="F6" i="8"/>
  <c r="B6" i="8"/>
  <c r="F5" i="8"/>
  <c r="B5" i="8"/>
  <c r="F4" i="8"/>
  <c r="B4" i="8"/>
</calcChain>
</file>

<file path=xl/sharedStrings.xml><?xml version="1.0" encoding="utf-8"?>
<sst xmlns="http://schemas.openxmlformats.org/spreadsheetml/2006/main" count="82" uniqueCount="37">
  <si>
    <t>정보통신서비스별 세부인력</t>
    <phoneticPr fontId="2" type="noConversion"/>
  </si>
  <si>
    <t>서비스</t>
    <phoneticPr fontId="2" type="noConversion"/>
  </si>
  <si>
    <t>기간통신서비스</t>
    <phoneticPr fontId="2" type="noConversion"/>
  </si>
  <si>
    <t>별정통신서비스</t>
  </si>
  <si>
    <t>부가통신서비스</t>
  </si>
  <si>
    <t>방송서비스</t>
  </si>
  <si>
    <t>2021년</t>
    <phoneticPr fontId="2" type="noConversion"/>
  </si>
  <si>
    <t>학년별 장학금 현황</t>
    <phoneticPr fontId="2" type="noConversion"/>
  </si>
  <si>
    <t>구분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</si>
  <si>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</si>
  <si>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</si>
  <si>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</si>
  <si>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</si>
  <si>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</si>
  <si>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</si>
  <si>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합계</t>
    <phoneticPr fontId="2" type="noConversion"/>
  </si>
  <si>
    <t>생산 및 수익 현황</t>
    <phoneticPr fontId="9" type="noConversion"/>
  </si>
  <si>
    <t>모델명</t>
    <phoneticPr fontId="9" type="noConversion"/>
  </si>
  <si>
    <t>종류</t>
    <phoneticPr fontId="9" type="noConversion"/>
  </si>
  <si>
    <t>판매량</t>
    <phoneticPr fontId="9" type="noConversion"/>
  </si>
  <si>
    <t>생산가</t>
    <phoneticPr fontId="9" type="noConversion"/>
  </si>
  <si>
    <t>판매가</t>
    <phoneticPr fontId="9" type="noConversion"/>
  </si>
  <si>
    <t>수익</t>
    <phoneticPr fontId="9" type="noConversion"/>
  </si>
  <si>
    <t>가021</t>
    <phoneticPr fontId="9" type="noConversion"/>
  </si>
  <si>
    <t>나032</t>
    <phoneticPr fontId="9" type="noConversion"/>
  </si>
  <si>
    <t>다045</t>
    <phoneticPr fontId="9" type="noConversion"/>
  </si>
  <si>
    <t>나065</t>
    <phoneticPr fontId="9" type="noConversion"/>
  </si>
  <si>
    <t>가023</t>
    <phoneticPr fontId="9" type="noConversion"/>
  </si>
  <si>
    <t>나035</t>
    <phoneticPr fontId="9" type="noConversion"/>
  </si>
  <si>
    <t>다087</t>
    <phoneticPr fontId="9" type="noConversion"/>
  </si>
  <si>
    <t>가013</t>
    <phoneticPr fontId="9" type="noConversion"/>
  </si>
  <si>
    <t>다011</t>
    <phoneticPr fontId="9" type="noConversion"/>
  </si>
  <si>
    <t>2023년</t>
  </si>
  <si>
    <t>2024년</t>
  </si>
  <si>
    <t>2022년</t>
    <phoneticPr fontId="2" type="noConversion"/>
  </si>
  <si>
    <t>2025년</t>
  </si>
  <si>
    <t>정보통신서비스별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</si>
</sst>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20">
    <xf numFmtId="0" fontId="0" fillId="0" borderId="0" xfId="0">
      <alignment vertical="center"/>
    </xf>
    <xf numFmtId="0" fontId="4" fillId="0" borderId="0" xfId="2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49" fontId="5" fillId="0" borderId="1" xfId="2" applyNumberFormat="1" applyFont="1" applyFill="1" applyBorder="1" applyAlignment="1">
      <alignment horizontal="center" vertical="center"/>
    </xf>
    <xf numFmtId="0" fontId="5" fillId="0" borderId="2" xfId="2" applyNumberFormat="1" applyFont="1" applyFill="1" applyBorder="1" applyAlignment="1">
      <alignment horizontal="center" vertical="center"/>
    </xf>
    <xf numFmtId="0" fontId="4" fillId="0" borderId="2" xfId="2" applyFont="1" applyFill="1" applyBorder="1" applyAlignment="1">
      <alignment horizontal="center" vertical="center"/>
    </xf>
    <xf numFmtId="176" fontId="4" fillId="0" borderId="2" xfId="2" applyNumberFormat="1" applyFont="1" applyBorder="1" applyAlignment="1">
      <alignment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3" xfId="2" applyNumberFormat="1" applyFont="1" applyBorder="1" applyAlignment="1">
      <alignment horizontal="center" vertical="center"/>
    </xf>
    <xf numFmtId="3" fontId="7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7" fillId="0" borderId="3" xfId="2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3" xfId="0" applyFont="1" applyFill="1" applyBorder="1" applyAlignment="1">
      <alignment horizontal="center"/>
    </xf>
    <xf numFmtId="0" fontId="0" fillId="0" borderId="3" xfId="0" applyBorder="1">
      <alignment vertical="center"/>
    </xf>
    <xf numFmtId="41" fontId="4" fillId="0" borderId="3" xfId="1" applyFont="1" applyFill="1" applyBorder="1" applyAlignment="1"/>
    <xf numFmtId="41" fontId="4" fillId="0" borderId="3" xfId="1" applyFont="1" applyFill="1" applyBorder="1" applyAlignment="1">
      <alignment horizontal="center"/>
    </xf>
    <xf numFmtId="0" fontId="6" fillId="0" borderId="0" xfId="2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정보통신 입력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1595957912668322E-2"/>
          <c:y val="0.15954187096861602"/>
          <c:w val="0.85297440944881886"/>
          <c:h val="0.561754001124079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차트연습!$D$2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차트연습!$B$3:$B$6</c:f>
              <c:strCache>
                <c:ptCount val="4"/>
                <c:pt idx="0">
                  <c:v>기간통신서비스</c:v>
                </c:pt>
                <c:pt idx="1">
                  <c:v>별정통신서비스</c:v>
                </c:pt>
                <c:pt idx="2">
                  <c:v>부가통신서비스</c:v>
                </c:pt>
                <c:pt idx="3">
                  <c:v>방송서비스</c:v>
                </c:pt>
              </c:strCache>
            </c:strRef>
          </c:cat>
          <c:val>
            <c:numRef>
              <c:f>차트연습!$D$3:$D$6</c:f>
              <c:numCache>
                <c:formatCode>#,##0_ </c:formatCode>
                <c:ptCount val="4"/>
                <c:pt idx="0">
                  <c:v>43023</c:v>
                </c:pt>
                <c:pt idx="1">
                  <c:v>6268</c:v>
                </c:pt>
                <c:pt idx="2">
                  <c:v>40404</c:v>
                </c:pt>
                <c:pt idx="3">
                  <c:v>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B-4AF1-8134-93E9B5D76B06}"/>
            </c:ext>
          </c:extLst>
        </c:ser>
        <c:ser>
          <c:idx val="1"/>
          <c:order val="1"/>
          <c:tx>
            <c:strRef>
              <c:f>차트연습!$E$2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차트연습!$B$3:$B$6</c:f>
              <c:strCache>
                <c:ptCount val="4"/>
                <c:pt idx="0">
                  <c:v>기간통신서비스</c:v>
                </c:pt>
                <c:pt idx="1">
                  <c:v>별정통신서비스</c:v>
                </c:pt>
                <c:pt idx="2">
                  <c:v>부가통신서비스</c:v>
                </c:pt>
                <c:pt idx="3">
                  <c:v>방송서비스</c:v>
                </c:pt>
              </c:strCache>
            </c:strRef>
          </c:cat>
          <c:val>
            <c:numRef>
              <c:f>차트연습!$E$3:$E$6</c:f>
              <c:numCache>
                <c:formatCode>#,##0_ </c:formatCode>
                <c:ptCount val="4"/>
                <c:pt idx="0">
                  <c:v>43848</c:v>
                </c:pt>
                <c:pt idx="1">
                  <c:v>6400</c:v>
                </c:pt>
                <c:pt idx="2">
                  <c:v>43044</c:v>
                </c:pt>
                <c:pt idx="3">
                  <c:v>27048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CB-4AF1-8134-93E9B5D76B06}"/>
            </c:ext>
          </c:extLst>
        </c:ser>
        <c:ser>
          <c:idx val="2"/>
          <c:order val="2"/>
          <c:tx>
            <c:strRef>
              <c:f>차트연습!$G$2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차트연습!$B$3:$B$6</c:f>
              <c:strCache>
                <c:ptCount val="4"/>
                <c:pt idx="0">
                  <c:v>기간통신서비스</c:v>
                </c:pt>
                <c:pt idx="1">
                  <c:v>별정통신서비스</c:v>
                </c:pt>
                <c:pt idx="2">
                  <c:v>부가통신서비스</c:v>
                </c:pt>
                <c:pt idx="3">
                  <c:v>방송서비스</c:v>
                </c:pt>
              </c:strCache>
            </c:strRef>
          </c:cat>
          <c:val>
            <c:numRef>
              <c:f>차트연습!$G$3:$G$6</c:f>
              <c:numCache>
                <c:formatCode>#,##0_ </c:formatCode>
                <c:ptCount val="4"/>
                <c:pt idx="0">
                  <c:v>43755</c:v>
                </c:pt>
                <c:pt idx="1">
                  <c:v>6702</c:v>
                </c:pt>
                <c:pt idx="2">
                  <c:v>52981</c:v>
                </c:pt>
                <c:pt idx="3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CB-4AF1-8134-93E9B5D76B06}"/>
            </c:ext>
          </c:extLst>
        </c:ser>
        <c:ser>
          <c:idx val="3"/>
          <c:order val="3"/>
          <c:tx>
            <c:strRef>
              <c:f>차트연습!$F$2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차트연습!$B$3:$B$6</c:f>
              <c:strCache>
                <c:ptCount val="4"/>
                <c:pt idx="0">
                  <c:v>기간통신서비스</c:v>
                </c:pt>
                <c:pt idx="1">
                  <c:v>별정통신서비스</c:v>
                </c:pt>
                <c:pt idx="2">
                  <c:v>부가통신서비스</c:v>
                </c:pt>
                <c:pt idx="3">
                  <c:v>방송서비스</c:v>
                </c:pt>
              </c:strCache>
            </c:strRef>
          </c:cat>
          <c:val>
            <c:numRef>
              <c:f>차트연습!$F$3:$F$6</c:f>
              <c:numCache>
                <c:formatCode>#,##0_ </c:formatCode>
                <c:ptCount val="4"/>
                <c:pt idx="0">
                  <c:v>43454</c:v>
                </c:pt>
                <c:pt idx="1">
                  <c:v>6664</c:v>
                </c:pt>
                <c:pt idx="2">
                  <c:v>50824</c:v>
                </c:pt>
                <c:pt idx="3">
                  <c:v>26714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8CB-4AF1-8134-93E9B5D76B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61407040"/>
        <c:axId val="1409634976"/>
      </c:barChart>
      <c:catAx>
        <c:axId val="15614070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9634976"/>
        <c:crosses val="autoZero"/>
        <c:auto val="1"/>
        <c:lblAlgn val="ctr"/>
        <c:lblOffset val="100"/>
        <c:noMultiLvlLbl val="0"/>
      </c:catAx>
      <c:valAx>
        <c:axId val="140963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14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차트1!$A$1</c:f>
          <c:strCache>
            <c:ptCount val="1"/>
            <c:pt idx="0">
              <c:v>정보통신서비스별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차트1!$A$4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A3-4D43-961B-79CB21B897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D-42FD-838D-E800BDD0359D}"/>
            </c:ext>
          </c:extLst>
        </c:ser>
        <c:ser>
          <c:idx val="2"/>
          <c:order val="1"/>
          <c:tx>
            <c:strRef>
              <c:f>차트1!$A$6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6D-42FD-838D-E800BDD0359D}"/>
            </c:ext>
          </c:extLst>
        </c:ser>
        <c:ser>
          <c:idx val="3"/>
          <c:order val="2"/>
          <c:tx>
            <c:strRef>
              <c:f>차트1!$A$7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6D-42FD-838D-E800BDD0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60861551"/>
        <c:axId val="601169983"/>
      </c:barChart>
      <c:catAx>
        <c:axId val="6608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정보통신서비스별 세부인력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'차트1(결과)'!$A$4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27-4FF3-8EC6-7433655239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8-4FE1-9A20-1259F0D89F5A}"/>
            </c:ext>
          </c:extLst>
        </c:ser>
        <c:ser>
          <c:idx val="2"/>
          <c:order val="1"/>
          <c:tx>
            <c:strRef>
              <c:f>'차트1(결과)'!$A$6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F8-4FE1-9A20-1259F0D89F5A}"/>
            </c:ext>
          </c:extLst>
        </c:ser>
        <c:ser>
          <c:idx val="3"/>
          <c:order val="2"/>
          <c:tx>
            <c:strRef>
              <c:f>'차트1(결과)'!$A$7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F8-4FE1-9A20-1259F0D89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60861551"/>
        <c:axId val="601169983"/>
      </c:barChart>
      <c:catAx>
        <c:axId val="6608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차트2!$A$4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4-44FF-9735-76679D21E866}"/>
            </c:ext>
          </c:extLst>
        </c:ser>
        <c:ser>
          <c:idx val="1"/>
          <c:order val="1"/>
          <c:tx>
            <c:strRef>
              <c:f>차트2!$A$5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A4-44FF-9735-76679D21E866}"/>
            </c:ext>
          </c:extLst>
        </c:ser>
        <c:ser>
          <c:idx val="2"/>
          <c:order val="2"/>
          <c:tx>
            <c:strRef>
              <c:f>차트2!$A$6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A4-44FF-9735-76679D21E866}"/>
            </c:ext>
          </c:extLst>
        </c:ser>
        <c:ser>
          <c:idx val="3"/>
          <c:order val="3"/>
          <c:tx>
            <c:strRef>
              <c:f>차트2!$A$7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차트2!$B$7:$D$7</c:f>
              <c:numCache>
                <c:formatCode>#,##0</c:formatCode>
                <c:ptCount val="3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A4-44FF-9735-76679D21E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2233392"/>
        <c:axId val="692236304"/>
      </c:barChart>
      <c:catAx>
        <c:axId val="69223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'차트2(결과)'!$A$1:$D$1</c:f>
          <c:strCache>
            <c:ptCount val="4"/>
            <c:pt idx="0">
              <c:v>학년별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'차트2(결과)'!$A$4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7-4054-BD97-2E75DC38918F}"/>
            </c:ext>
          </c:extLst>
        </c:ser>
        <c:ser>
          <c:idx val="1"/>
          <c:order val="1"/>
          <c:tx>
            <c:strRef>
              <c:f>'차트2(결과)'!$A$5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67-4054-BD97-2E75DC38918F}"/>
            </c:ext>
          </c:extLst>
        </c:ser>
        <c:ser>
          <c:idx val="2"/>
          <c:order val="2"/>
          <c:tx>
            <c:strRef>
              <c:f>'차트2(결과)'!$A$6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67-4054-BD97-2E75DC389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2233392"/>
        <c:axId val="692236304"/>
      </c:barChart>
      <c:catAx>
        <c:axId val="69223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차트3!$D$3</c:f>
              <c:strCache>
                <c:ptCount val="1"/>
                <c:pt idx="0">
                  <c:v>생산가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차트3!$D$4:$D$12</c:f>
              <c:numCache>
                <c:formatCode>_(* #,##0_);_(* \(#,##0\);_(* "-"_);_(@_)</c:formatCode>
                <c:ptCount val="9"/>
                <c:pt idx="0">
                  <c:v>6000</c:v>
                </c:pt>
                <c:pt idx="1">
                  <c:v>7200</c:v>
                </c:pt>
                <c:pt idx="2">
                  <c:v>5400</c:v>
                </c:pt>
                <c:pt idx="3">
                  <c:v>4200</c:v>
                </c:pt>
                <c:pt idx="4">
                  <c:v>7200</c:v>
                </c:pt>
                <c:pt idx="5">
                  <c:v>8400</c:v>
                </c:pt>
                <c:pt idx="6">
                  <c:v>5600</c:v>
                </c:pt>
                <c:pt idx="7">
                  <c:v>6200</c:v>
                </c:pt>
                <c:pt idx="8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0-44D4-AA1E-6F461D8662AA}"/>
            </c:ext>
          </c:extLst>
        </c:ser>
        <c:ser>
          <c:idx val="1"/>
          <c:order val="1"/>
          <c:tx>
            <c:strRef>
              <c:f>차트3!$E$3</c:f>
              <c:strCache>
                <c:ptCount val="1"/>
                <c:pt idx="0">
                  <c:v>판매가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차트3!$E$4:$E$12</c:f>
              <c:numCache>
                <c:formatCode>_(* #,##0_);_(* \(#,##0\);_(* "-"_);_(@_)</c:formatCode>
                <c:ptCount val="9"/>
                <c:pt idx="0">
                  <c:v>7000</c:v>
                </c:pt>
                <c:pt idx="1">
                  <c:v>9000</c:v>
                </c:pt>
                <c:pt idx="2">
                  <c:v>8900</c:v>
                </c:pt>
                <c:pt idx="3">
                  <c:v>5100</c:v>
                </c:pt>
                <c:pt idx="4">
                  <c:v>9000</c:v>
                </c:pt>
                <c:pt idx="5">
                  <c:v>10000</c:v>
                </c:pt>
                <c:pt idx="6">
                  <c:v>6800</c:v>
                </c:pt>
                <c:pt idx="7">
                  <c:v>7500</c:v>
                </c:pt>
                <c:pt idx="8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0-44D4-AA1E-6F461D866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581840"/>
        <c:axId val="932584752"/>
      </c:barChart>
      <c:catAx>
        <c:axId val="9325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4752"/>
        <c:crosses val="autoZero"/>
        <c:auto val="1"/>
        <c:lblAlgn val="ctr"/>
        <c:lblOffset val="100"/>
        <c:noMultiLvlLbl val="0"/>
      </c:catAx>
      <c:valAx>
        <c:axId val="9325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'차트3(결과)'!$D$3</c:f>
              <c:strCache>
                <c:ptCount val="1"/>
                <c:pt idx="0">
                  <c:v>생산가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'차트3(결과)'!$D$4:$D$12</c:f>
              <c:numCache>
                <c:formatCode>_(* #,##0_);_(* \(#,##0\);_(* "-"_);_(@_)</c:formatCode>
                <c:ptCount val="9"/>
                <c:pt idx="0">
                  <c:v>6000</c:v>
                </c:pt>
                <c:pt idx="1">
                  <c:v>7200</c:v>
                </c:pt>
                <c:pt idx="2">
                  <c:v>5400</c:v>
                </c:pt>
                <c:pt idx="3">
                  <c:v>4200</c:v>
                </c:pt>
                <c:pt idx="4">
                  <c:v>7200</c:v>
                </c:pt>
                <c:pt idx="5">
                  <c:v>8400</c:v>
                </c:pt>
                <c:pt idx="6">
                  <c:v>5600</c:v>
                </c:pt>
                <c:pt idx="7">
                  <c:v>6200</c:v>
                </c:pt>
                <c:pt idx="8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D-4841-9930-90FD9AF01D27}"/>
            </c:ext>
          </c:extLst>
        </c:ser>
        <c:ser>
          <c:idx val="1"/>
          <c:order val="1"/>
          <c:tx>
            <c:strRef>
              <c:f>'차트3(결과)'!$E$3</c:f>
              <c:strCache>
                <c:ptCount val="1"/>
                <c:pt idx="0">
                  <c:v>판매가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'차트3(결과)'!$E$4:$E$12</c:f>
              <c:numCache>
                <c:formatCode>_(* #,##0_);_(* \(#,##0\);_(* "-"_);_(@_)</c:formatCode>
                <c:ptCount val="9"/>
                <c:pt idx="0">
                  <c:v>7000</c:v>
                </c:pt>
                <c:pt idx="1">
                  <c:v>9000</c:v>
                </c:pt>
                <c:pt idx="2">
                  <c:v>8900</c:v>
                </c:pt>
                <c:pt idx="3">
                  <c:v>5100</c:v>
                </c:pt>
                <c:pt idx="4">
                  <c:v>9000</c:v>
                </c:pt>
                <c:pt idx="5">
                  <c:v>10000</c:v>
                </c:pt>
                <c:pt idx="6">
                  <c:v>6800</c:v>
                </c:pt>
                <c:pt idx="7">
                  <c:v>7500</c:v>
                </c:pt>
                <c:pt idx="8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D-4841-9930-90FD9AF01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581840"/>
        <c:axId val="932584752"/>
      </c:barChart>
      <c:lineChart>
        <c:grouping val="standard"/>
        <c:varyColors val="0"/>
        <c:ser>
          <c:idx val="2"/>
          <c:order val="2"/>
          <c:tx>
            <c:strRef>
              <c:f>'차트3(결과)'!$F$3</c:f>
              <c:strCache>
                <c:ptCount val="1"/>
                <c:pt idx="0">
                  <c:v>수익</c:v>
                </c:pt>
              </c:strCache>
            </c:strRef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tint val="65000"/>
                </a:schemeClr>
              </a:solidFill>
              <a:ln w="9525">
                <a:solidFill>
                  <a:schemeClr val="accent5">
                    <a:tint val="65000"/>
                  </a:schemeClr>
                </a:solidFill>
              </a:ln>
              <a:effectLst/>
            </c:spPr>
          </c:marker>
          <c:dLbls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54-48C9-9BA1-6F55B2570D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'차트3(결과)'!$F$4:$F$12</c:f>
              <c:numCache>
                <c:formatCode>_(* #,##0_);_(* \(#,##0\);_(* "-"_);_(@_)</c:formatCode>
                <c:ptCount val="9"/>
                <c:pt idx="0">
                  <c:v>130000</c:v>
                </c:pt>
                <c:pt idx="1">
                  <c:v>198000</c:v>
                </c:pt>
                <c:pt idx="2">
                  <c:v>140000</c:v>
                </c:pt>
                <c:pt idx="3">
                  <c:v>108000</c:v>
                </c:pt>
                <c:pt idx="4">
                  <c:v>180000</c:v>
                </c:pt>
                <c:pt idx="5">
                  <c:v>80000</c:v>
                </c:pt>
                <c:pt idx="6">
                  <c:v>96000</c:v>
                </c:pt>
                <c:pt idx="7">
                  <c:v>169000</c:v>
                </c:pt>
                <c:pt idx="8">
                  <c:v>36000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4-48C9-9BA1-6F55B2570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24527"/>
        <c:axId val="706307471"/>
      </c:lineChart>
      <c:catAx>
        <c:axId val="9325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4752"/>
        <c:crosses val="autoZero"/>
        <c:auto val="1"/>
        <c:lblAlgn val="ctr"/>
        <c:lblOffset val="100"/>
        <c:noMultiLvlLbl val="0"/>
      </c:catAx>
      <c:valAx>
        <c:axId val="9325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1840"/>
        <c:crosses val="autoZero"/>
        <c:crossBetween val="between"/>
      </c:valAx>
      <c:valAx>
        <c:axId val="706307471"/>
        <c:scaling>
          <c:orientation val="minMax"/>
          <c:max val="20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6324527"/>
        <c:crosses val="max"/>
        <c:crossBetween val="between"/>
      </c:valAx>
      <c:catAx>
        <c:axId val="70632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6307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108584</xdr:colOff>
      <xdr:row>7</xdr:row>
      <xdr:rowOff>140970</xdr:rowOff>
    </xdr:from>
    <xdr:to>
      <xdr:col>11</xdr:col>
      <xdr:colOff>350519</xdr:colOff>
      <xdr:row>26</xdr:row>
      <xdr:rowOff>148590</xdr:rowOff>
    </xdr:to>
    <xdr:graphicFrame macro="">
      <xdr:nvGraphicFramePr>
        <xdr:cNvPr id="3" name="차트 1">
          <a:extLst>
            <a:ext uri="{FF2B5EF4-FFF2-40B4-BE49-F238E27FC236}">
              <a16:creationId xmlns:a16="http://schemas.microsoft.com/office/drawing/2014/main" id="{B160BC91-3D12-4F55-AFAB-90D14870BA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BE6EC4-2DBE-4EA3-878D-9D1347B9C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8654409-E8AF-44F5-8264-633CC135D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B60DA90-2FAF-4C75-92F4-9CDD69830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0C46-BD1B-4A15-8482-FE75B16AFAE5}">
  <dimension ref="B2:G6"/>
  <sheetViews>
    <sheetView topLeftCell="A7" workbookViewId="0">
      <selection activeCell="F2" sqref="F2:F6"/>
    </sheetView>
  </sheetViews>
  <sheetFormatPr defaultRowHeight="16.5" x14ac:dyDescent="0.3"/>
  <cols>
    <col min="2" max="2" width="15.125" bestFit="1" customWidth="1"/>
  </cols>
  <sheetData>
    <row r="2" spans="2:7" x14ac:dyDescent="0.3">
      <c r="B2" s="3" t="s">
        <v>1</v>
      </c>
      <c r="C2" s="4" t="s">
        <v>6</v>
      </c>
      <c r="D2" s="4" t="s">
        <v>34</v>
      </c>
      <c r="E2" s="4" t="s">
        <v>32</v>
      </c>
      <c r="F2" s="4" t="s">
        <v>33</v>
      </c>
      <c r="G2" s="4" t="s">
        <v>35</v>
      </c>
    </row>
    <row r="3" spans="2:7" x14ac:dyDescent="0.3">
      <c r="B3" s="5" t="s">
        <v>2</v>
      </c>
      <c r="C3" s="6">
        <v>45010</v>
      </c>
      <c r="D3" s="6">
        <v>43023</v>
      </c>
      <c r="E3" s="6">
        <v>43848</v>
      </c>
      <c r="F3" s="6">
        <v>43454</v>
      </c>
      <c r="G3" s="6">
        <v>43755</v>
      </c>
    </row>
    <row r="4" spans="2:7" x14ac:dyDescent="0.3">
      <c r="B4" s="5" t="s">
        <v>3</v>
      </c>
      <c r="C4" s="6">
        <v>6158</v>
      </c>
      <c r="D4" s="6">
        <v>6268</v>
      </c>
      <c r="E4" s="6">
        <v>6400</v>
      </c>
      <c r="F4" s="6">
        <v>6664</v>
      </c>
      <c r="G4" s="6">
        <v>6702</v>
      </c>
    </row>
    <row r="5" spans="2:7" x14ac:dyDescent="0.3">
      <c r="B5" s="5" t="s">
        <v>4</v>
      </c>
      <c r="C5" s="6">
        <v>28628</v>
      </c>
      <c r="D5" s="6">
        <v>40404</v>
      </c>
      <c r="E5" s="6">
        <v>43044</v>
      </c>
      <c r="F5" s="6">
        <v>50824</v>
      </c>
      <c r="G5" s="6">
        <v>52981</v>
      </c>
    </row>
    <row r="6" spans="2:7" x14ac:dyDescent="0.3">
      <c r="B6" s="5" t="s">
        <v>5</v>
      </c>
      <c r="C6" s="6">
        <v>28395</v>
      </c>
      <c r="D6" s="6">
        <v>28484</v>
      </c>
      <c r="E6" s="6">
        <v>27048</v>
      </c>
      <c r="F6" s="6">
        <v>26714</v>
      </c>
      <c r="G6" s="6">
        <v>26383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"/>
  <sheetViews>
    <sheetView tabSelected="1" topLeftCell="A7" zoomScale="130" zoomScaleNormal="130" workbookViewId="0">
      <selection activeCell="I15" sqref="I15"/>
    </sheetView>
  </sheetViews>
  <sheetFormatPr defaultRowHeight="16.5" x14ac:dyDescent="0.3"/>
  <cols>
    <col min="1" max="1" width="16.875" customWidth="1"/>
    <col min="2" max="6" width="12.625" customWidth="1"/>
  </cols>
  <sheetData>
    <row r="1" spans="1:6" x14ac:dyDescent="0.3">
      <c r="A1" s="1" t="s">
        <v>36</v>
      </c>
      <c r="B1" s="2"/>
      <c r="C1" s="2"/>
      <c r="D1" s="2"/>
      <c r="E1" s="2"/>
      <c r="F1" s="2"/>
    </row>
    <row r="2" spans="1:6" x14ac:dyDescent="0.3">
      <c r="A2" s="2"/>
      <c r="B2" s="2"/>
      <c r="C2" s="2"/>
      <c r="D2" s="2"/>
      <c r="E2" s="2"/>
      <c r="F2" s="2"/>
    </row>
    <row r="3" spans="1:6" x14ac:dyDescent="0.3">
      <c r="A3" s="3" t="s">
        <v>1</v>
      </c>
      <c r="B3" s="4" t="s">
        <v>6</v>
      </c>
      <c r="C3" s="4" t="s">
        <v>34</v>
      </c>
      <c r="D3" s="4" t="s">
        <v>32</v>
      </c>
      <c r="E3" s="4" t="s">
        <v>33</v>
      </c>
      <c r="F3" s="4" t="s">
        <v>35</v>
      </c>
    </row>
    <row r="4" spans="1:6" x14ac:dyDescent="0.3">
      <c r="A4" s="5" t="s">
        <v>2</v>
      </c>
      <c r="B4" s="6">
        <v>45010</v>
      </c>
      <c r="C4" s="6">
        <v>43023</v>
      </c>
      <c r="D4" s="6">
        <v>43848</v>
      </c>
      <c r="E4" s="6">
        <v>43454</v>
      </c>
      <c r="F4" s="6">
        <v>43755</v>
      </c>
    </row>
    <row r="5" spans="1:6" x14ac:dyDescent="0.3">
      <c r="A5" s="5" t="s">
        <v>3</v>
      </c>
      <c r="B5" s="6">
        <v>6158</v>
      </c>
      <c r="C5" s="6">
        <v>6268</v>
      </c>
      <c r="D5" s="6">
        <v>6400</v>
      </c>
      <c r="E5" s="6">
        <v>6664</v>
      </c>
      <c r="F5" s="6">
        <v>6702</v>
      </c>
    </row>
    <row r="6" spans="1:6" x14ac:dyDescent="0.3">
      <c r="A6" s="5" t="s">
        <v>4</v>
      </c>
      <c r="B6" s="6">
        <v>28628</v>
      </c>
      <c r="C6" s="6">
        <v>40404</v>
      </c>
      <c r="D6" s="6">
        <v>43044</v>
      </c>
      <c r="E6" s="6">
        <v>50824</v>
      </c>
      <c r="F6" s="6">
        <v>52981</v>
      </c>
    </row>
    <row r="7" spans="1:6" x14ac:dyDescent="0.3">
      <c r="A7" s="5" t="s">
        <v>5</v>
      </c>
      <c r="B7" s="6">
        <v>28395</v>
      </c>
      <c r="C7" s="6">
        <v>28484</v>
      </c>
      <c r="D7" s="6">
        <v>27048</v>
      </c>
      <c r="E7" s="6">
        <v>26714</v>
      </c>
      <c r="F7" s="6">
        <v>26383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BCBF-3BC1-4D24-A819-AC549A33A82E}">
  <dimension ref="A1:F7"/>
  <sheetViews>
    <sheetView workbookViewId="0"/>
  </sheetViews>
  <sheetFormatPr defaultRowHeight="16.5" x14ac:dyDescent="0.3"/>
  <cols>
    <col min="1" max="1" width="16.875" customWidth="1"/>
    <col min="2" max="6" width="12.625" customWidth="1"/>
  </cols>
  <sheetData>
    <row r="1" spans="1:6" x14ac:dyDescent="0.3">
      <c r="A1" s="1" t="s">
        <v>0</v>
      </c>
      <c r="B1" s="2"/>
      <c r="C1" s="2"/>
      <c r="D1" s="2"/>
      <c r="E1" s="2"/>
      <c r="F1" s="2"/>
    </row>
    <row r="2" spans="1:6" x14ac:dyDescent="0.3">
      <c r="A2" s="2"/>
      <c r="B2" s="2"/>
      <c r="C2" s="2"/>
      <c r="D2" s="2"/>
      <c r="E2" s="2"/>
      <c r="F2" s="2"/>
    </row>
    <row r="3" spans="1:6" x14ac:dyDescent="0.3">
      <c r="A3" s="3" t="s">
        <v>1</v>
      </c>
      <c r="B3" s="4" t="s">
        <v>6</v>
      </c>
      <c r="C3" s="4" t="s">
        <v>34</v>
      </c>
      <c r="D3" s="4" t="s">
        <v>32</v>
      </c>
      <c r="E3" s="4" t="s">
        <v>33</v>
      </c>
      <c r="F3" s="4" t="s">
        <v>35</v>
      </c>
    </row>
    <row r="4" spans="1:6" x14ac:dyDescent="0.3">
      <c r="A4" s="5" t="s">
        <v>2</v>
      </c>
      <c r="B4" s="6">
        <v>45010</v>
      </c>
      <c r="C4" s="6">
        <v>43023</v>
      </c>
      <c r="D4" s="6">
        <v>43848</v>
      </c>
      <c r="E4" s="6">
        <v>43454</v>
      </c>
      <c r="F4" s="6">
        <v>43755</v>
      </c>
    </row>
    <row r="5" spans="1:6" x14ac:dyDescent="0.3">
      <c r="A5" s="5" t="s">
        <v>3</v>
      </c>
      <c r="B5" s="6">
        <v>6158</v>
      </c>
      <c r="C5" s="6">
        <v>6268</v>
      </c>
      <c r="D5" s="6">
        <v>6400</v>
      </c>
      <c r="E5" s="6">
        <v>6664</v>
      </c>
      <c r="F5" s="6">
        <v>6702</v>
      </c>
    </row>
    <row r="6" spans="1:6" x14ac:dyDescent="0.3">
      <c r="A6" s="5" t="s">
        <v>4</v>
      </c>
      <c r="B6" s="6">
        <v>28628</v>
      </c>
      <c r="C6" s="6">
        <v>40404</v>
      </c>
      <c r="D6" s="6">
        <v>43044</v>
      </c>
      <c r="E6" s="6">
        <v>50824</v>
      </c>
      <c r="F6" s="6">
        <v>52981</v>
      </c>
    </row>
    <row r="7" spans="1:6" x14ac:dyDescent="0.3">
      <c r="A7" s="5" t="s">
        <v>5</v>
      </c>
      <c r="B7" s="6">
        <v>28395</v>
      </c>
      <c r="C7" s="6">
        <v>28484</v>
      </c>
      <c r="D7" s="6">
        <v>27048</v>
      </c>
      <c r="E7" s="6">
        <v>26714</v>
      </c>
      <c r="F7" s="6">
        <v>26383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"/>
  <sheetViews>
    <sheetView workbookViewId="0">
      <selection sqref="A1:D1"/>
    </sheetView>
  </sheetViews>
  <sheetFormatPr defaultRowHeight="16.5" x14ac:dyDescent="0.3"/>
  <cols>
    <col min="1" max="5" width="18.625" customWidth="1"/>
  </cols>
  <sheetData>
    <row r="1" spans="1:4" ht="26.25" x14ac:dyDescent="0.3">
      <c r="A1" s="18" t="s">
        <v>7</v>
      </c>
      <c r="B1" s="18"/>
      <c r="C1" s="18"/>
      <c r="D1" s="18"/>
    </row>
    <row r="2" spans="1:4" x14ac:dyDescent="0.3">
      <c r="A2" s="7"/>
      <c r="B2" s="7"/>
      <c r="C2" s="7"/>
      <c r="D2" s="8"/>
    </row>
    <row r="3" spans="1:4" x14ac:dyDescent="0.3">
      <c r="A3" s="9" t="s">
        <v>8</v>
      </c>
      <c r="B3" s="9" t="s">
        <v>9</v>
      </c>
      <c r="C3" s="9" t="s">
        <v>10</v>
      </c>
      <c r="D3" s="9" t="s">
        <v>11</v>
      </c>
    </row>
    <row r="4" spans="1:4" x14ac:dyDescent="0.3">
      <c r="A4" s="9" t="s">
        <v>12</v>
      </c>
      <c r="B4" s="10">
        <v>42437</v>
      </c>
      <c r="C4" s="10">
        <v>43632</v>
      </c>
      <c r="D4" s="11">
        <v>47664</v>
      </c>
    </row>
    <row r="5" spans="1:4" x14ac:dyDescent="0.3">
      <c r="A5" s="9" t="s">
        <v>13</v>
      </c>
      <c r="B5" s="10">
        <v>11666</v>
      </c>
      <c r="C5" s="10">
        <v>12769</v>
      </c>
      <c r="D5" s="11">
        <v>13182</v>
      </c>
    </row>
    <row r="6" spans="1:4" x14ac:dyDescent="0.3">
      <c r="A6" s="12" t="s">
        <v>14</v>
      </c>
      <c r="B6" s="11">
        <v>27345</v>
      </c>
      <c r="C6" s="10">
        <v>27973</v>
      </c>
      <c r="D6" s="11">
        <v>31570</v>
      </c>
    </row>
    <row r="7" spans="1:4" x14ac:dyDescent="0.3">
      <c r="A7" s="9" t="s">
        <v>15</v>
      </c>
      <c r="B7" s="11">
        <v>81448</v>
      </c>
      <c r="C7" s="11">
        <v>84374</v>
      </c>
      <c r="D7" s="11">
        <v>92353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E595E-1F91-4307-B143-E60712C722DA}">
  <dimension ref="A1:D7"/>
  <sheetViews>
    <sheetView workbookViewId="0"/>
  </sheetViews>
  <sheetFormatPr defaultRowHeight="16.5" x14ac:dyDescent="0.3"/>
  <cols>
    <col min="1" max="5" width="18.625" customWidth="1"/>
  </cols>
  <sheetData>
    <row r="1" spans="1:4" ht="26.25" x14ac:dyDescent="0.3">
      <c r="A1" s="18" t="s">
        <v>7</v>
      </c>
      <c r="B1" s="18"/>
      <c r="C1" s="18"/>
      <c r="D1" s="18"/>
    </row>
    <row r="2" spans="1:4" x14ac:dyDescent="0.3">
      <c r="A2" s="7"/>
      <c r="B2" s="7"/>
      <c r="C2" s="7"/>
      <c r="D2" s="8"/>
    </row>
    <row r="3" spans="1:4" x14ac:dyDescent="0.3">
      <c r="A3" s="9" t="s">
        <v>8</v>
      </c>
      <c r="B3" s="9" t="s">
        <v>9</v>
      </c>
      <c r="C3" s="9" t="s">
        <v>10</v>
      </c>
      <c r="D3" s="9" t="s">
        <v>11</v>
      </c>
    </row>
    <row r="4" spans="1:4" x14ac:dyDescent="0.3">
      <c r="A4" s="9" t="s">
        <v>12</v>
      </c>
      <c r="B4" s="10">
        <v>42437</v>
      </c>
      <c r="C4" s="10">
        <v>43632</v>
      </c>
      <c r="D4" s="11">
        <v>47664</v>
      </c>
    </row>
    <row r="5" spans="1:4" x14ac:dyDescent="0.3">
      <c r="A5" s="9" t="s">
        <v>13</v>
      </c>
      <c r="B5" s="10">
        <v>11666</v>
      </c>
      <c r="C5" s="10">
        <v>12769</v>
      </c>
      <c r="D5" s="11">
        <v>13182</v>
      </c>
    </row>
    <row r="6" spans="1:4" x14ac:dyDescent="0.3">
      <c r="A6" s="12" t="s">
        <v>14</v>
      </c>
      <c r="B6" s="11">
        <v>27345</v>
      </c>
      <c r="C6" s="10">
        <v>27973</v>
      </c>
      <c r="D6" s="11">
        <v>31570</v>
      </c>
    </row>
    <row r="7" spans="1:4" x14ac:dyDescent="0.3">
      <c r="A7" s="9" t="s">
        <v>15</v>
      </c>
      <c r="B7" s="11">
        <v>81448</v>
      </c>
      <c r="C7" s="11">
        <v>84374</v>
      </c>
      <c r="D7" s="11">
        <v>92353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00D78-EE0E-4CED-9ECF-BA87C584F0EF}">
  <dimension ref="A1:F12"/>
  <sheetViews>
    <sheetView workbookViewId="0">
      <selection sqref="A1:F1"/>
    </sheetView>
  </sheetViews>
  <sheetFormatPr defaultRowHeight="16.5" x14ac:dyDescent="0.3"/>
  <cols>
    <col min="1" max="6" width="10.625" customWidth="1"/>
  </cols>
  <sheetData>
    <row r="1" spans="1:6" ht="26.25" x14ac:dyDescent="0.3">
      <c r="A1" s="19" t="s">
        <v>16</v>
      </c>
      <c r="B1" s="19"/>
      <c r="C1" s="19"/>
      <c r="D1" s="19"/>
      <c r="E1" s="19"/>
      <c r="F1" s="19"/>
    </row>
    <row r="2" spans="1:6" x14ac:dyDescent="0.3">
      <c r="A2" s="13"/>
      <c r="B2" s="13"/>
      <c r="C2" s="13"/>
      <c r="D2" s="13"/>
      <c r="E2" s="13"/>
      <c r="F2" s="13"/>
    </row>
    <row r="3" spans="1:6" x14ac:dyDescent="0.3">
      <c r="A3" s="14" t="s">
        <v>17</v>
      </c>
      <c r="B3" s="14" t="s">
        <v>18</v>
      </c>
      <c r="C3" s="14" t="s">
        <v>19</v>
      </c>
      <c r="D3" s="14" t="s">
        <v>20</v>
      </c>
      <c r="E3" s="14" t="s">
        <v>21</v>
      </c>
      <c r="F3" s="14" t="s">
        <v>22</v>
      </c>
    </row>
    <row r="4" spans="1:6" x14ac:dyDescent="0.3">
      <c r="A4" s="14" t="s">
        <v>23</v>
      </c>
      <c r="B4" s="14" t="str">
        <f>IF(LEFT(A4) ="가", "샴퓨", IF(LEFT(A4) ="나", "린스",IF(LEFT(A4) ="다", "비누", "")))</f>
        <v>샴퓨</v>
      </c>
      <c r="C4" s="15">
        <v>130</v>
      </c>
      <c r="D4" s="16">
        <v>6000</v>
      </c>
      <c r="E4" s="17">
        <v>7000</v>
      </c>
      <c r="F4" s="17">
        <f>INT(( E4- D4) *C4)</f>
        <v>130000</v>
      </c>
    </row>
    <row r="5" spans="1:6" x14ac:dyDescent="0.3">
      <c r="A5" s="14" t="s">
        <v>24</v>
      </c>
      <c r="B5" s="14" t="str">
        <f t="shared" ref="B5:B12" si="0">IF(LEFT(A5) ="가", "샴퓨", IF(LEFT(A5) ="나", "린스",IF(LEFT(A5) ="다", "비누", "")))</f>
        <v>린스</v>
      </c>
      <c r="C5" s="15">
        <v>110</v>
      </c>
      <c r="D5" s="16">
        <v>7200</v>
      </c>
      <c r="E5" s="17">
        <v>9000</v>
      </c>
      <c r="F5" s="17">
        <f t="shared" ref="F5:F12" si="1">INT(( E5- D5) *C5)</f>
        <v>198000</v>
      </c>
    </row>
    <row r="6" spans="1:6" x14ac:dyDescent="0.3">
      <c r="A6" s="14" t="s">
        <v>25</v>
      </c>
      <c r="B6" s="14" t="str">
        <f t="shared" si="0"/>
        <v>비누</v>
      </c>
      <c r="C6" s="15">
        <v>40</v>
      </c>
      <c r="D6" s="16">
        <v>5400</v>
      </c>
      <c r="E6" s="17">
        <v>8900</v>
      </c>
      <c r="F6" s="17">
        <f t="shared" si="1"/>
        <v>140000</v>
      </c>
    </row>
    <row r="7" spans="1:6" x14ac:dyDescent="0.3">
      <c r="A7" s="14" t="s">
        <v>26</v>
      </c>
      <c r="B7" s="14" t="str">
        <f t="shared" si="0"/>
        <v>린스</v>
      </c>
      <c r="C7" s="15">
        <v>120</v>
      </c>
      <c r="D7" s="16">
        <v>4200</v>
      </c>
      <c r="E7" s="17">
        <v>5100</v>
      </c>
      <c r="F7" s="17">
        <f t="shared" si="1"/>
        <v>108000</v>
      </c>
    </row>
    <row r="8" spans="1:6" x14ac:dyDescent="0.3">
      <c r="A8" s="14" t="s">
        <v>27</v>
      </c>
      <c r="B8" s="14" t="str">
        <f t="shared" si="0"/>
        <v>샴퓨</v>
      </c>
      <c r="C8" s="15">
        <v>100</v>
      </c>
      <c r="D8" s="16">
        <v>7200</v>
      </c>
      <c r="E8" s="17">
        <v>9000</v>
      </c>
      <c r="F8" s="17">
        <f t="shared" si="1"/>
        <v>180000</v>
      </c>
    </row>
    <row r="9" spans="1:6" x14ac:dyDescent="0.3">
      <c r="A9" s="14" t="s">
        <v>28</v>
      </c>
      <c r="B9" s="14" t="str">
        <f t="shared" si="0"/>
        <v>린스</v>
      </c>
      <c r="C9" s="15">
        <v>50</v>
      </c>
      <c r="D9" s="16">
        <v>8400</v>
      </c>
      <c r="E9" s="17">
        <v>10000</v>
      </c>
      <c r="F9" s="17">
        <f t="shared" si="1"/>
        <v>80000</v>
      </c>
    </row>
    <row r="10" spans="1:6" x14ac:dyDescent="0.3">
      <c r="A10" s="14" t="s">
        <v>29</v>
      </c>
      <c r="B10" s="14" t="str">
        <f t="shared" si="0"/>
        <v>비누</v>
      </c>
      <c r="C10" s="15">
        <v>80</v>
      </c>
      <c r="D10" s="16">
        <v>5600</v>
      </c>
      <c r="E10" s="17">
        <v>6800</v>
      </c>
      <c r="F10" s="17">
        <f t="shared" si="1"/>
        <v>96000</v>
      </c>
    </row>
    <row r="11" spans="1:6" x14ac:dyDescent="0.3">
      <c r="A11" s="14" t="s">
        <v>30</v>
      </c>
      <c r="B11" s="14" t="str">
        <f t="shared" si="0"/>
        <v>샴퓨</v>
      </c>
      <c r="C11" s="15">
        <v>130</v>
      </c>
      <c r="D11" s="16">
        <v>6200</v>
      </c>
      <c r="E11" s="17">
        <v>7500</v>
      </c>
      <c r="F11" s="17">
        <f t="shared" si="1"/>
        <v>169000</v>
      </c>
    </row>
    <row r="12" spans="1:6" x14ac:dyDescent="0.3">
      <c r="A12" s="14" t="s">
        <v>31</v>
      </c>
      <c r="B12" s="14" t="str">
        <f t="shared" si="0"/>
        <v>비누</v>
      </c>
      <c r="C12" s="15">
        <v>90</v>
      </c>
      <c r="D12" s="16">
        <v>5800</v>
      </c>
      <c r="E12" s="17">
        <v>6200</v>
      </c>
      <c r="F12" s="17">
        <f t="shared" si="1"/>
        <v>36000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2"/>
  <sheetViews>
    <sheetView workbookViewId="0"/>
  </sheetViews>
  <sheetFormatPr defaultRowHeight="16.5" x14ac:dyDescent="0.3"/>
  <cols>
    <col min="1" max="6" width="10.625" customWidth="1"/>
  </cols>
  <sheetData>
    <row r="1" spans="1:6" ht="26.25" x14ac:dyDescent="0.3">
      <c r="A1" s="19" t="s">
        <v>16</v>
      </c>
      <c r="B1" s="19"/>
      <c r="C1" s="19"/>
      <c r="D1" s="19"/>
      <c r="E1" s="19"/>
      <c r="F1" s="19"/>
    </row>
    <row r="2" spans="1:6" x14ac:dyDescent="0.3">
      <c r="A2" s="13"/>
      <c r="B2" s="13"/>
      <c r="C2" s="13"/>
      <c r="D2" s="13"/>
      <c r="E2" s="13"/>
      <c r="F2" s="13"/>
    </row>
    <row r="3" spans="1:6" x14ac:dyDescent="0.3">
      <c r="A3" s="14" t="s">
        <v>17</v>
      </c>
      <c r="B3" s="14" t="s">
        <v>18</v>
      </c>
      <c r="C3" s="14" t="s">
        <v>19</v>
      </c>
      <c r="D3" s="14" t="s">
        <v>20</v>
      </c>
      <c r="E3" s="14" t="s">
        <v>21</v>
      </c>
      <c r="F3" s="14" t="s">
        <v>22</v>
      </c>
    </row>
    <row r="4" spans="1:6" x14ac:dyDescent="0.3">
      <c r="A4" s="14" t="s">
        <v>23</v>
      </c>
      <c r="B4" s="14" t="str">
        <f>IF(LEFT(A4) ="가", "샴퓨", IF(LEFT(A4) ="나", "린스",IF(LEFT(A4) ="다", "비누", "")))</f>
        <v>샴퓨</v>
      </c>
      <c r="C4" s="15">
        <v>130</v>
      </c>
      <c r="D4" s="16">
        <v>6000</v>
      </c>
      <c r="E4" s="17">
        <v>7000</v>
      </c>
      <c r="F4" s="17">
        <f>INT(( E4- D4) *C4)</f>
        <v>130000</v>
      </c>
    </row>
    <row r="5" spans="1:6" x14ac:dyDescent="0.3">
      <c r="A5" s="14" t="s">
        <v>24</v>
      </c>
      <c r="B5" s="14" t="str">
        <f t="shared" ref="B5:B12" si="0">IF(LEFT(A5) ="가", "샴퓨", IF(LEFT(A5) ="나", "린스",IF(LEFT(A5) ="다", "비누", "")))</f>
        <v>린스</v>
      </c>
      <c r="C5" s="15">
        <v>110</v>
      </c>
      <c r="D5" s="16">
        <v>7200</v>
      </c>
      <c r="E5" s="17">
        <v>9000</v>
      </c>
      <c r="F5" s="17">
        <f t="shared" ref="F5:F12" si="1">INT(( E5- D5) *C5)</f>
        <v>198000</v>
      </c>
    </row>
    <row r="6" spans="1:6" x14ac:dyDescent="0.3">
      <c r="A6" s="14" t="s">
        <v>25</v>
      </c>
      <c r="B6" s="14" t="str">
        <f t="shared" si="0"/>
        <v>비누</v>
      </c>
      <c r="C6" s="15">
        <v>40</v>
      </c>
      <c r="D6" s="16">
        <v>5400</v>
      </c>
      <c r="E6" s="17">
        <v>8900</v>
      </c>
      <c r="F6" s="17">
        <f t="shared" si="1"/>
        <v>140000</v>
      </c>
    </row>
    <row r="7" spans="1:6" x14ac:dyDescent="0.3">
      <c r="A7" s="14" t="s">
        <v>26</v>
      </c>
      <c r="B7" s="14" t="str">
        <f t="shared" si="0"/>
        <v>린스</v>
      </c>
      <c r="C7" s="15">
        <v>120</v>
      </c>
      <c r="D7" s="16">
        <v>4200</v>
      </c>
      <c r="E7" s="17">
        <v>5100</v>
      </c>
      <c r="F7" s="17">
        <f t="shared" si="1"/>
        <v>108000</v>
      </c>
    </row>
    <row r="8" spans="1:6" x14ac:dyDescent="0.3">
      <c r="A8" s="14" t="s">
        <v>27</v>
      </c>
      <c r="B8" s="14" t="str">
        <f t="shared" si="0"/>
        <v>샴퓨</v>
      </c>
      <c r="C8" s="15">
        <v>100</v>
      </c>
      <c r="D8" s="16">
        <v>7200</v>
      </c>
      <c r="E8" s="17">
        <v>9000</v>
      </c>
      <c r="F8" s="17">
        <f t="shared" si="1"/>
        <v>180000</v>
      </c>
    </row>
    <row r="9" spans="1:6" x14ac:dyDescent="0.3">
      <c r="A9" s="14" t="s">
        <v>28</v>
      </c>
      <c r="B9" s="14" t="str">
        <f t="shared" si="0"/>
        <v>린스</v>
      </c>
      <c r="C9" s="15">
        <v>50</v>
      </c>
      <c r="D9" s="16">
        <v>8400</v>
      </c>
      <c r="E9" s="17">
        <v>10000</v>
      </c>
      <c r="F9" s="17">
        <f t="shared" si="1"/>
        <v>80000</v>
      </c>
    </row>
    <row r="10" spans="1:6" x14ac:dyDescent="0.3">
      <c r="A10" s="14" t="s">
        <v>29</v>
      </c>
      <c r="B10" s="14" t="str">
        <f t="shared" si="0"/>
        <v>비누</v>
      </c>
      <c r="C10" s="15">
        <v>80</v>
      </c>
      <c r="D10" s="16">
        <v>5600</v>
      </c>
      <c r="E10" s="17">
        <v>6800</v>
      </c>
      <c r="F10" s="17">
        <f t="shared" si="1"/>
        <v>96000</v>
      </c>
    </row>
    <row r="11" spans="1:6" x14ac:dyDescent="0.3">
      <c r="A11" s="14" t="s">
        <v>30</v>
      </c>
      <c r="B11" s="14" t="str">
        <f t="shared" si="0"/>
        <v>샴퓨</v>
      </c>
      <c r="C11" s="15">
        <v>130</v>
      </c>
      <c r="D11" s="16">
        <v>6200</v>
      </c>
      <c r="E11" s="17">
        <v>7500</v>
      </c>
      <c r="F11" s="17">
        <f t="shared" si="1"/>
        <v>169000</v>
      </c>
    </row>
    <row r="12" spans="1:6" x14ac:dyDescent="0.3">
      <c r="A12" s="14" t="s">
        <v>31</v>
      </c>
      <c r="B12" s="14" t="str">
        <f t="shared" si="0"/>
        <v>비누</v>
      </c>
      <c r="C12" s="15">
        <v>90</v>
      </c>
      <c r="D12" s="16">
        <v>5800</v>
      </c>
      <c r="E12" s="17">
        <v>6200</v>
      </c>
      <c r="F12" s="17">
        <f t="shared" si="1"/>
        <v>36000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차트연습</vt:lpstr>
      <vt:lpstr>차트1</vt:lpstr>
      <vt:lpstr>차트1(결과)</vt:lpstr>
      <vt:lpstr>차트2</vt:lpstr>
      <vt:lpstr>차트2(결과)</vt:lpstr>
      <vt:lpstr>차트3</vt:lpstr>
      <vt:lpstr>차트3(결과)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2020-04-05T22:43:32Z</dcterms:created>
  <dcterms:modified xsi:type="dcterms:W3CDTF">2026-09-09T12:49:27Z</dcterms:modified>
</cp:coreProperties>
</file>