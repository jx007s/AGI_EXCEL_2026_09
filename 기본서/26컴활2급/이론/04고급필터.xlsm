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F3B7C61D-05B1-48F3-8DEC-DD97EF448CFA}" xr6:coauthVersionLast="47" xr6:coauthVersionMax="47" xr10:uidLastSave="{00000000-0000-0000-0000-000000000000}"/>
  <bookViews>
    <workbookView xWindow="22932" yWindow="-108" windowWidth="23256" windowHeight="12576" tabRatio="862" activeTab="6" xr2:uid="{00000000-000D-0000-FFFF-FFFF00000000}"/>
  </bookViews>
  <sheets>
    <sheet name="고급필터1" sheetId="5" r:id="rId1"/>
    <sheet name="고급필터1(결과)" sheetId="1" r:id="rId2"/>
    <sheet name="고급필터2" sheetId="6" r:id="rId3"/>
    <sheet name="고급필터2(결과)" sheetId="2" r:id="rId4"/>
    <sheet name="고급필터3" sheetId="7" r:id="rId5"/>
    <sheet name="고급필터3(결과)" sheetId="3" r:id="rId6"/>
    <sheet name="자동필터" sheetId="8" r:id="rId7"/>
    <sheet name="자동필터(결과)" sheetId="4" r:id="rId8"/>
  </sheets>
  <definedNames>
    <definedName name="_xlnm._FilterDatabase" localSheetId="0" hidden="1">고급필터1!$A$3:$G$15</definedName>
    <definedName name="_xlnm._FilterDatabase" localSheetId="1" hidden="1">'고급필터1(결과)'!$A$3:$G$15</definedName>
    <definedName name="_xlnm._FilterDatabase" localSheetId="2" hidden="1">고급필터2!$A$3:$G$18</definedName>
    <definedName name="_xlnm._FilterDatabase" localSheetId="3" hidden="1">'고급필터2(결과)'!$A$3:$G$18</definedName>
    <definedName name="_xlnm._FilterDatabase" localSheetId="4" hidden="1">고급필터3!$A$3:$F$15</definedName>
    <definedName name="_xlnm._FilterDatabase" localSheetId="5" hidden="1">'고급필터3(결과)'!$A$3:$F$15</definedName>
    <definedName name="_xlnm._FilterDatabase" localSheetId="6" hidden="1">자동필터!$A$3:$G$18</definedName>
    <definedName name="_xlnm._FilterDatabase" localSheetId="7" hidden="1">'자동필터(결과)'!$A$3:$G$18</definedName>
    <definedName name="_xlnm.Criteria" localSheetId="0">고급필터1!$A$18:$B$19</definedName>
    <definedName name="_xlnm.Criteria" localSheetId="1">'고급필터1(결과)'!$A$18:$B$19</definedName>
    <definedName name="_xlnm.Criteria" localSheetId="2">고급필터2!$J$5:$K$6</definedName>
    <definedName name="_xlnm.Criteria" localSheetId="3">'고급필터2(결과)'!$A$20:$B$21</definedName>
    <definedName name="_xlnm.Criteria" localSheetId="5">'고급필터3(결과)'!$A$18:$B$20</definedName>
    <definedName name="_xlnm.Extract" localSheetId="0">고급필터1!$A$54:$D$54</definedName>
    <definedName name="_xlnm.Extract" localSheetId="1">'고급필터1(결과)'!$A$22:$G$22</definedName>
    <definedName name="_xlnm.Extract" localSheetId="2">고급필터2!$J$9:$P$9</definedName>
    <definedName name="_xlnm.Extract" localSheetId="3">'고급필터2(결과)'!$A$25:$E$25</definedName>
    <definedName name="_xlnm.Extract" localSheetId="5">'고급필터3(결과)'!$A$23:$F$23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6" i="6" l="1"/>
</calcChain>
</file>

<file path=xl/sharedStrings.xml><?xml version="1.0" encoding="utf-8"?>
<sst xmlns="http://schemas.openxmlformats.org/spreadsheetml/2006/main" count="671" uniqueCount="142">
  <si>
    <t>상공주식회사 인사 관리 현황</t>
    <phoneticPr fontId="2" type="noConversion"/>
  </si>
  <si>
    <t>상공호텔 예약 현황</t>
    <phoneticPr fontId="2" type="noConversion"/>
  </si>
  <si>
    <t>신입사원 합격 현황</t>
    <phoneticPr fontId="2" type="noConversion"/>
  </si>
  <si>
    <t>상품명</t>
    <phoneticPr fontId="2" type="noConversion"/>
  </si>
  <si>
    <t>구분</t>
    <phoneticPr fontId="2" type="noConversion"/>
  </si>
  <si>
    <t>예약자명</t>
    <phoneticPr fontId="2" type="noConversion"/>
  </si>
  <si>
    <t>인원수</t>
    <phoneticPr fontId="2" type="noConversion"/>
  </si>
  <si>
    <t>숙박일수</t>
    <phoneticPr fontId="2" type="noConversion"/>
  </si>
  <si>
    <t>이용금액</t>
    <phoneticPr fontId="2" type="noConversion"/>
  </si>
  <si>
    <t>할인금액</t>
    <phoneticPr fontId="2" type="noConversion"/>
  </si>
  <si>
    <t>프리미엄</t>
    <phoneticPr fontId="2" type="noConversion"/>
  </si>
  <si>
    <t>회원</t>
    <phoneticPr fontId="2" type="noConversion"/>
  </si>
  <si>
    <t>고숙자</t>
    <phoneticPr fontId="2" type="noConversion"/>
  </si>
  <si>
    <t>1박2일</t>
    <phoneticPr fontId="2" type="noConversion"/>
  </si>
  <si>
    <t>골드</t>
    <phoneticPr fontId="2" type="noConversion"/>
  </si>
  <si>
    <t>비회원</t>
    <phoneticPr fontId="2" type="noConversion"/>
  </si>
  <si>
    <t>양정원</t>
    <phoneticPr fontId="2" type="noConversion"/>
  </si>
  <si>
    <t>3박4일</t>
    <phoneticPr fontId="2" type="noConversion"/>
  </si>
  <si>
    <t>일반</t>
    <phoneticPr fontId="2" type="noConversion"/>
  </si>
  <si>
    <t>이호원</t>
    <phoneticPr fontId="2" type="noConversion"/>
  </si>
  <si>
    <t>2박3일</t>
    <phoneticPr fontId="2" type="noConversion"/>
  </si>
  <si>
    <t>박정훈</t>
    <phoneticPr fontId="2" type="noConversion"/>
  </si>
  <si>
    <t>유현민</t>
    <phoneticPr fontId="2" type="noConversion"/>
  </si>
  <si>
    <t>한인국</t>
    <phoneticPr fontId="2" type="noConversion"/>
  </si>
  <si>
    <t>비회원</t>
    <phoneticPr fontId="2" type="noConversion"/>
  </si>
  <si>
    <t>강주봉</t>
    <phoneticPr fontId="2" type="noConversion"/>
  </si>
  <si>
    <t>회원</t>
    <phoneticPr fontId="2" type="noConversion"/>
  </si>
  <si>
    <t>김원래</t>
    <phoneticPr fontId="2" type="noConversion"/>
  </si>
  <si>
    <t>최희선</t>
    <phoneticPr fontId="2" type="noConversion"/>
  </si>
  <si>
    <t>정영희</t>
    <phoneticPr fontId="2" type="noConversion"/>
  </si>
  <si>
    <t>김성은</t>
    <phoneticPr fontId="2" type="noConversion"/>
  </si>
  <si>
    <t>이성열</t>
    <phoneticPr fontId="2" type="noConversion"/>
  </si>
  <si>
    <t>응시번호</t>
    <phoneticPr fontId="2" type="noConversion"/>
  </si>
  <si>
    <t>성명</t>
    <phoneticPr fontId="2" type="noConversion"/>
  </si>
  <si>
    <t>성별</t>
    <phoneticPr fontId="2" type="noConversion"/>
  </si>
  <si>
    <t>서류</t>
    <phoneticPr fontId="2" type="noConversion"/>
  </si>
  <si>
    <t>필기</t>
    <phoneticPr fontId="2" type="noConversion"/>
  </si>
  <si>
    <t>면접</t>
    <phoneticPr fontId="2" type="noConversion"/>
  </si>
  <si>
    <t>총점</t>
    <phoneticPr fontId="2" type="noConversion"/>
  </si>
  <si>
    <t>이용현</t>
    <phoneticPr fontId="2" type="noConversion"/>
  </si>
  <si>
    <t>남</t>
    <phoneticPr fontId="2" type="noConversion"/>
  </si>
  <si>
    <t>이현승</t>
    <phoneticPr fontId="2" type="noConversion"/>
  </si>
  <si>
    <t>여</t>
    <phoneticPr fontId="2" type="noConversion"/>
  </si>
  <si>
    <t>조유미</t>
    <phoneticPr fontId="2" type="noConversion"/>
  </si>
  <si>
    <t>강한성</t>
    <phoneticPr fontId="2" type="noConversion"/>
  </si>
  <si>
    <t>남</t>
    <phoneticPr fontId="2" type="noConversion"/>
  </si>
  <si>
    <t>변기용</t>
    <phoneticPr fontId="2" type="noConversion"/>
  </si>
  <si>
    <t>하숙지</t>
    <phoneticPr fontId="2" type="noConversion"/>
  </si>
  <si>
    <t>여</t>
    <phoneticPr fontId="2" type="noConversion"/>
  </si>
  <si>
    <t>최고주</t>
    <phoneticPr fontId="2" type="noConversion"/>
  </si>
  <si>
    <t>남</t>
    <phoneticPr fontId="2" type="noConversion"/>
  </si>
  <si>
    <t>오영심</t>
    <phoneticPr fontId="2" type="noConversion"/>
  </si>
  <si>
    <t>임희선</t>
    <phoneticPr fontId="2" type="noConversion"/>
  </si>
  <si>
    <t>여</t>
    <phoneticPr fontId="2" type="noConversion"/>
  </si>
  <si>
    <t>고소연</t>
    <phoneticPr fontId="2" type="noConversion"/>
  </si>
  <si>
    <t>여</t>
    <phoneticPr fontId="2" type="noConversion"/>
  </si>
  <si>
    <t>김만석</t>
    <phoneticPr fontId="2" type="noConversion"/>
  </si>
  <si>
    <t>백치미</t>
    <phoneticPr fontId="2" type="noConversion"/>
  </si>
  <si>
    <t>진성유</t>
    <phoneticPr fontId="2" type="noConversion"/>
  </si>
  <si>
    <t>한지석</t>
    <phoneticPr fontId="2" type="noConversion"/>
  </si>
  <si>
    <t>송우민</t>
    <phoneticPr fontId="2" type="noConversion"/>
  </si>
  <si>
    <t>사원명</t>
    <phoneticPr fontId="2" type="noConversion"/>
  </si>
  <si>
    <t>성별</t>
    <phoneticPr fontId="2" type="noConversion"/>
  </si>
  <si>
    <t>부서</t>
    <phoneticPr fontId="2" type="noConversion"/>
  </si>
  <si>
    <t>직위</t>
    <phoneticPr fontId="2" type="noConversion"/>
  </si>
  <si>
    <t>입사년도</t>
    <phoneticPr fontId="2" type="noConversion"/>
  </si>
  <si>
    <t>급여</t>
    <phoneticPr fontId="2" type="noConversion"/>
  </si>
  <si>
    <t>최민지</t>
    <phoneticPr fontId="2" type="noConversion"/>
  </si>
  <si>
    <t>여</t>
    <phoneticPr fontId="2" type="noConversion"/>
  </si>
  <si>
    <t>기획부</t>
    <phoneticPr fontId="2" type="noConversion"/>
  </si>
  <si>
    <t>대리</t>
    <phoneticPr fontId="2" type="noConversion"/>
  </si>
  <si>
    <t>한선택</t>
    <phoneticPr fontId="2" type="noConversion"/>
  </si>
  <si>
    <t>남</t>
    <phoneticPr fontId="2" type="noConversion"/>
  </si>
  <si>
    <t>홍보부</t>
    <phoneticPr fontId="2" type="noConversion"/>
  </si>
  <si>
    <t>대리</t>
    <phoneticPr fontId="2" type="noConversion"/>
  </si>
  <si>
    <t>황철수</t>
    <phoneticPr fontId="2" type="noConversion"/>
  </si>
  <si>
    <t>영업부</t>
    <phoneticPr fontId="2" type="noConversion"/>
  </si>
  <si>
    <t>사원</t>
    <phoneticPr fontId="2" type="noConversion"/>
  </si>
  <si>
    <t>조인성</t>
    <phoneticPr fontId="2" type="noConversion"/>
  </si>
  <si>
    <t>기획부</t>
    <phoneticPr fontId="2" type="noConversion"/>
  </si>
  <si>
    <t>신유선</t>
    <phoneticPr fontId="2" type="noConversion"/>
  </si>
  <si>
    <t>경리부</t>
    <phoneticPr fontId="2" type="noConversion"/>
  </si>
  <si>
    <t>부장</t>
    <phoneticPr fontId="2" type="noConversion"/>
  </si>
  <si>
    <t>배영수</t>
    <phoneticPr fontId="2" type="noConversion"/>
  </si>
  <si>
    <t>홍보부</t>
    <phoneticPr fontId="2" type="noConversion"/>
  </si>
  <si>
    <t>정유라</t>
    <phoneticPr fontId="2" type="noConversion"/>
  </si>
  <si>
    <t>경리부</t>
    <phoneticPr fontId="2" type="noConversion"/>
  </si>
  <si>
    <t>김진우</t>
    <phoneticPr fontId="2" type="noConversion"/>
  </si>
  <si>
    <t>기획부</t>
    <phoneticPr fontId="2" type="noConversion"/>
  </si>
  <si>
    <t>김윤아</t>
    <phoneticPr fontId="2" type="noConversion"/>
  </si>
  <si>
    <t>영업부</t>
    <phoneticPr fontId="2" type="noConversion"/>
  </si>
  <si>
    <t>과장</t>
    <phoneticPr fontId="2" type="noConversion"/>
  </si>
  <si>
    <t>박기주</t>
    <phoneticPr fontId="2" type="noConversion"/>
  </si>
  <si>
    <t>이재희</t>
    <phoneticPr fontId="2" type="noConversion"/>
  </si>
  <si>
    <t>임준표</t>
    <phoneticPr fontId="2" type="noConversion"/>
  </si>
  <si>
    <t>합격 현황</t>
    <phoneticPr fontId="2" type="noConversion"/>
  </si>
  <si>
    <t>응시번호</t>
    <phoneticPr fontId="2" type="noConversion"/>
  </si>
  <si>
    <t>성명</t>
    <phoneticPr fontId="2" type="noConversion"/>
  </si>
  <si>
    <t>성별</t>
    <phoneticPr fontId="2" type="noConversion"/>
  </si>
  <si>
    <t>서류</t>
    <phoneticPr fontId="2" type="noConversion"/>
  </si>
  <si>
    <t>필기</t>
    <phoneticPr fontId="2" type="noConversion"/>
  </si>
  <si>
    <t>총점</t>
    <phoneticPr fontId="2" type="noConversion"/>
  </si>
  <si>
    <t>이용현</t>
    <phoneticPr fontId="2" type="noConversion"/>
  </si>
  <si>
    <t>남</t>
    <phoneticPr fontId="2" type="noConversion"/>
  </si>
  <si>
    <t>이현승</t>
    <phoneticPr fontId="2" type="noConversion"/>
  </si>
  <si>
    <t>여</t>
    <phoneticPr fontId="2" type="noConversion"/>
  </si>
  <si>
    <t>조유미</t>
    <phoneticPr fontId="2" type="noConversion"/>
  </si>
  <si>
    <t>강한성</t>
    <phoneticPr fontId="2" type="noConversion"/>
  </si>
  <si>
    <t>변기용</t>
    <phoneticPr fontId="2" type="noConversion"/>
  </si>
  <si>
    <t>남</t>
    <phoneticPr fontId="2" type="noConversion"/>
  </si>
  <si>
    <t>하숙지</t>
    <phoneticPr fontId="2" type="noConversion"/>
  </si>
  <si>
    <t>최고주</t>
    <phoneticPr fontId="2" type="noConversion"/>
  </si>
  <si>
    <t>오영심</t>
    <phoneticPr fontId="2" type="noConversion"/>
  </si>
  <si>
    <t>임희선</t>
    <phoneticPr fontId="2" type="noConversion"/>
  </si>
  <si>
    <t>고소연</t>
    <phoneticPr fontId="2" type="noConversion"/>
  </si>
  <si>
    <t>백치미</t>
    <phoneticPr fontId="2" type="noConversion"/>
  </si>
  <si>
    <t>한지석</t>
    <phoneticPr fontId="2" type="noConversion"/>
  </si>
  <si>
    <t>송우민</t>
    <phoneticPr fontId="2" type="noConversion"/>
  </si>
  <si>
    <t>&lt;=70000</t>
    <phoneticPr fontId="2" type="noConversion"/>
  </si>
  <si>
    <t>&gt;=250</t>
    <phoneticPr fontId="2" type="noConversion"/>
  </si>
  <si>
    <t>&gt;=4000000</t>
    <phoneticPr fontId="2" type="noConversion"/>
  </si>
  <si>
    <t>&gt;=70000</t>
    <phoneticPr fontId="2" type="noConversion"/>
  </si>
  <si>
    <t>and 조건</t>
    <phoneticPr fontId="2" type="noConversion"/>
  </si>
  <si>
    <t>같은행에작성</t>
    <phoneticPr fontId="2" type="noConversion"/>
  </si>
  <si>
    <t>or조건</t>
    <phoneticPr fontId="2" type="noConversion"/>
  </si>
  <si>
    <t>다른행에 작성</t>
    <phoneticPr fontId="2" type="noConversion"/>
  </si>
  <si>
    <t>상품명 일반이면서 이용금액이 200000 이상 이거나 구분이 비회원이면서 할인금액이 30000 이하인 데이터</t>
    <phoneticPr fontId="2" type="noConversion"/>
  </si>
  <si>
    <t>1. 상품명 일반이면서 이용금액이 200000 이상 이거나</t>
    <phoneticPr fontId="2" type="noConversion"/>
  </si>
  <si>
    <t>2. 구분이 비회원이면서 할인금액이 30000 이하</t>
    <phoneticPr fontId="2" type="noConversion"/>
  </si>
  <si>
    <t>or</t>
    <phoneticPr fontId="2" type="noConversion"/>
  </si>
  <si>
    <t>and</t>
    <phoneticPr fontId="2" type="noConversion"/>
  </si>
  <si>
    <t>&gt;=200000</t>
    <phoneticPr fontId="2" type="noConversion"/>
  </si>
  <si>
    <t>&lt;=30000</t>
    <phoneticPr fontId="2" type="noConversion"/>
  </si>
  <si>
    <t>-&gt; 결과 처리할 머릿글을 미리 설정</t>
    <phoneticPr fontId="2" type="noConversion"/>
  </si>
  <si>
    <t>결과위치 설정시 결과 머릿글 모두 선택</t>
    <phoneticPr fontId="2" type="noConversion"/>
  </si>
  <si>
    <t>성별이 남 이면서 필기시험보다 면접시험 점수가 높은 데이터</t>
    <phoneticPr fontId="2" type="noConversion"/>
  </si>
  <si>
    <t>아무거나</t>
    <phoneticPr fontId="2" type="noConversion"/>
  </si>
  <si>
    <t>=E4&lt;F4</t>
    <phoneticPr fontId="2" type="noConversion"/>
  </si>
  <si>
    <t>조건이 수식인 경우 첫번째 행을 참조하여 작성</t>
    <phoneticPr fontId="2" type="noConversion"/>
  </si>
  <si>
    <t>조건이 수식인 경우의 머릿글은 비우거나 목록에 없는 머리글을 작성한다</t>
    <phoneticPr fontId="2" type="noConversion"/>
  </si>
  <si>
    <t>이수희</t>
    <phoneticPr fontId="2" type="noConversion"/>
  </si>
  <si>
    <t>수준표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</si>
</sst>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quotePrefix="1">
      <alignment vertical="center"/>
    </xf>
    <xf numFmtId="0" fontId="0" fillId="0" borderId="2" xfId="0" quotePrefix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58"/>
  <sheetViews>
    <sheetView topLeftCell="A50" zoomScale="145" zoomScaleNormal="145" workbookViewId="0">
      <selection activeCell="F56" sqref="F56"/>
    </sheetView>
  </sheetViews>
  <sheetFormatPr defaultRowHeight="16.5" x14ac:dyDescent="0.3"/>
  <sheetData>
    <row r="1" spans="1:17" ht="20.25" x14ac:dyDescent="0.3">
      <c r="A1" s="4" t="s">
        <v>1</v>
      </c>
      <c r="B1" s="4"/>
      <c r="C1" s="4"/>
      <c r="D1" s="4"/>
      <c r="E1" s="4"/>
      <c r="F1" s="4"/>
      <c r="G1" s="4"/>
    </row>
    <row r="2" spans="1:17" x14ac:dyDescent="0.3">
      <c r="I2" t="s">
        <v>122</v>
      </c>
      <c r="J2" t="s">
        <v>123</v>
      </c>
    </row>
    <row r="3" spans="1:17" x14ac:dyDescent="0.3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  <c r="I3" s="1" t="s">
        <v>3</v>
      </c>
      <c r="J3" s="1" t="s">
        <v>4</v>
      </c>
      <c r="K3" s="1" t="s">
        <v>9</v>
      </c>
    </row>
    <row r="4" spans="1:17" x14ac:dyDescent="0.3">
      <c r="A4" s="1" t="s">
        <v>10</v>
      </c>
      <c r="B4" s="1" t="s">
        <v>11</v>
      </c>
      <c r="C4" s="1" t="s">
        <v>12</v>
      </c>
      <c r="D4" s="1">
        <v>2</v>
      </c>
      <c r="E4" s="1" t="s">
        <v>13</v>
      </c>
      <c r="F4" s="2">
        <v>240000</v>
      </c>
      <c r="G4" s="2">
        <v>96000</v>
      </c>
      <c r="I4" s="1" t="s">
        <v>18</v>
      </c>
      <c r="J4" s="1" t="s">
        <v>15</v>
      </c>
      <c r="K4" t="s">
        <v>121</v>
      </c>
    </row>
    <row r="5" spans="1:17" x14ac:dyDescent="0.3">
      <c r="A5" s="1" t="s">
        <v>14</v>
      </c>
      <c r="B5" s="1" t="s">
        <v>15</v>
      </c>
      <c r="C5" s="1" t="s">
        <v>16</v>
      </c>
      <c r="D5" s="1">
        <v>4</v>
      </c>
      <c r="E5" s="1" t="s">
        <v>17</v>
      </c>
      <c r="F5" s="2">
        <v>600000</v>
      </c>
      <c r="G5" s="2">
        <v>90000</v>
      </c>
    </row>
    <row r="6" spans="1:17" x14ac:dyDescent="0.3">
      <c r="A6" s="1" t="s">
        <v>18</v>
      </c>
      <c r="B6" s="1" t="s">
        <v>11</v>
      </c>
      <c r="C6" s="1" t="s">
        <v>19</v>
      </c>
      <c r="D6" s="1">
        <v>3</v>
      </c>
      <c r="E6" s="1" t="s">
        <v>20</v>
      </c>
      <c r="F6" s="2">
        <v>320000</v>
      </c>
      <c r="G6" s="2">
        <v>128000</v>
      </c>
    </row>
    <row r="7" spans="1:17" x14ac:dyDescent="0.3">
      <c r="A7" s="1" t="s">
        <v>10</v>
      </c>
      <c r="B7" s="1" t="s">
        <v>15</v>
      </c>
      <c r="C7" s="1" t="s">
        <v>21</v>
      </c>
      <c r="D7" s="1">
        <v>5</v>
      </c>
      <c r="E7" s="1" t="s">
        <v>20</v>
      </c>
      <c r="F7" s="2">
        <v>480000</v>
      </c>
      <c r="G7" s="2">
        <v>72000</v>
      </c>
    </row>
    <row r="8" spans="1:17" x14ac:dyDescent="0.3">
      <c r="A8" s="1" t="s">
        <v>18</v>
      </c>
      <c r="B8" s="1" t="s">
        <v>15</v>
      </c>
      <c r="C8" s="1" t="s">
        <v>22</v>
      </c>
      <c r="D8" s="1">
        <v>4</v>
      </c>
      <c r="E8" s="1" t="s">
        <v>13</v>
      </c>
      <c r="F8" s="2">
        <v>160000</v>
      </c>
      <c r="G8" s="2">
        <v>24000</v>
      </c>
    </row>
    <row r="9" spans="1:17" x14ac:dyDescent="0.3">
      <c r="A9" s="1" t="s">
        <v>10</v>
      </c>
      <c r="B9" s="1" t="s">
        <v>15</v>
      </c>
      <c r="C9" s="1" t="s">
        <v>23</v>
      </c>
      <c r="D9" s="1">
        <v>4</v>
      </c>
      <c r="E9" s="1" t="s">
        <v>13</v>
      </c>
      <c r="F9" s="2">
        <v>240000</v>
      </c>
      <c r="G9" s="2">
        <v>36000</v>
      </c>
    </row>
    <row r="10" spans="1:17" x14ac:dyDescent="0.3">
      <c r="A10" s="1" t="s">
        <v>18</v>
      </c>
      <c r="B10" s="1" t="s">
        <v>15</v>
      </c>
      <c r="C10" s="1" t="s">
        <v>25</v>
      </c>
      <c r="D10" s="1">
        <v>3</v>
      </c>
      <c r="E10" s="1" t="s">
        <v>17</v>
      </c>
      <c r="F10" s="2">
        <v>480000</v>
      </c>
      <c r="G10" s="2">
        <v>72000</v>
      </c>
    </row>
    <row r="11" spans="1:17" x14ac:dyDescent="0.3">
      <c r="A11" s="1" t="s">
        <v>14</v>
      </c>
      <c r="B11" s="1" t="s">
        <v>11</v>
      </c>
      <c r="C11" s="1" t="s">
        <v>27</v>
      </c>
      <c r="D11" s="1">
        <v>4</v>
      </c>
      <c r="E11" s="1" t="s">
        <v>13</v>
      </c>
      <c r="F11" s="2">
        <v>200000</v>
      </c>
      <c r="G11" s="2">
        <v>80000</v>
      </c>
      <c r="I11" s="1" t="s">
        <v>3</v>
      </c>
      <c r="J11" s="1" t="s">
        <v>4</v>
      </c>
      <c r="K11" s="1" t="s">
        <v>5</v>
      </c>
      <c r="L11" s="1" t="s">
        <v>6</v>
      </c>
      <c r="M11" s="1" t="s">
        <v>7</v>
      </c>
      <c r="N11" s="1" t="s">
        <v>8</v>
      </c>
      <c r="O11" s="1" t="s">
        <v>9</v>
      </c>
    </row>
    <row r="12" spans="1:17" x14ac:dyDescent="0.3">
      <c r="A12" s="1" t="s">
        <v>10</v>
      </c>
      <c r="B12" s="1" t="s">
        <v>11</v>
      </c>
      <c r="C12" s="1" t="s">
        <v>28</v>
      </c>
      <c r="D12" s="1">
        <v>5</v>
      </c>
      <c r="E12" s="1" t="s">
        <v>20</v>
      </c>
      <c r="F12" s="2">
        <v>480000</v>
      </c>
      <c r="G12" s="2">
        <v>192000</v>
      </c>
      <c r="I12" s="1" t="s">
        <v>18</v>
      </c>
      <c r="J12" s="1" t="s">
        <v>15</v>
      </c>
      <c r="K12" s="1" t="s">
        <v>25</v>
      </c>
      <c r="L12" s="1">
        <v>3</v>
      </c>
      <c r="M12" s="1" t="s">
        <v>17</v>
      </c>
      <c r="N12" s="2">
        <v>480000</v>
      </c>
      <c r="O12" s="2">
        <v>72000</v>
      </c>
    </row>
    <row r="13" spans="1:17" x14ac:dyDescent="0.3">
      <c r="A13" s="1" t="s">
        <v>18</v>
      </c>
      <c r="B13" s="1" t="s">
        <v>15</v>
      </c>
      <c r="C13" s="1" t="s">
        <v>29</v>
      </c>
      <c r="D13" s="1">
        <v>2</v>
      </c>
      <c r="E13" s="1" t="s">
        <v>20</v>
      </c>
      <c r="F13" s="2">
        <v>320000</v>
      </c>
      <c r="G13" s="2">
        <v>48000</v>
      </c>
    </row>
    <row r="14" spans="1:17" x14ac:dyDescent="0.3">
      <c r="A14" s="1" t="s">
        <v>14</v>
      </c>
      <c r="B14" s="1" t="s">
        <v>15</v>
      </c>
      <c r="C14" s="1" t="s">
        <v>30</v>
      </c>
      <c r="D14" s="1">
        <v>4</v>
      </c>
      <c r="E14" s="1" t="s">
        <v>13</v>
      </c>
      <c r="F14" s="2">
        <v>200000</v>
      </c>
      <c r="G14" s="2">
        <v>30000</v>
      </c>
    </row>
    <row r="15" spans="1:17" x14ac:dyDescent="0.3">
      <c r="A15" s="1" t="s">
        <v>18</v>
      </c>
      <c r="B15" s="1" t="s">
        <v>11</v>
      </c>
      <c r="C15" s="1" t="s">
        <v>31</v>
      </c>
      <c r="D15" s="1">
        <v>2</v>
      </c>
      <c r="E15" s="1" t="s">
        <v>13</v>
      </c>
      <c r="F15" s="2">
        <v>160000</v>
      </c>
      <c r="G15" s="2">
        <v>64000</v>
      </c>
      <c r="I15" t="s">
        <v>124</v>
      </c>
      <c r="J15" t="s">
        <v>125</v>
      </c>
    </row>
    <row r="16" spans="1:17" x14ac:dyDescent="0.3">
      <c r="I16" s="1" t="s">
        <v>3</v>
      </c>
      <c r="J16" s="1" t="s">
        <v>4</v>
      </c>
      <c r="Q16" s="1" t="s">
        <v>3</v>
      </c>
    </row>
    <row r="17" spans="1:23" x14ac:dyDescent="0.3">
      <c r="I17" s="1" t="s">
        <v>18</v>
      </c>
      <c r="Q17" s="1" t="s">
        <v>18</v>
      </c>
    </row>
    <row r="18" spans="1:23" x14ac:dyDescent="0.3">
      <c r="A18" s="1" t="s">
        <v>4</v>
      </c>
      <c r="B18" s="1" t="s">
        <v>9</v>
      </c>
      <c r="J18" s="1" t="s">
        <v>15</v>
      </c>
      <c r="Q18" s="1" t="s">
        <v>14</v>
      </c>
    </row>
    <row r="19" spans="1:23" x14ac:dyDescent="0.3">
      <c r="A19" s="1" t="s">
        <v>15</v>
      </c>
      <c r="B19" s="3" t="s">
        <v>118</v>
      </c>
    </row>
    <row r="21" spans="1:23" x14ac:dyDescent="0.3">
      <c r="I21" s="1" t="s">
        <v>3</v>
      </c>
      <c r="J21" s="1" t="s">
        <v>4</v>
      </c>
      <c r="K21" s="1" t="s">
        <v>5</v>
      </c>
      <c r="L21" s="1" t="s">
        <v>6</v>
      </c>
      <c r="M21" s="1" t="s">
        <v>7</v>
      </c>
      <c r="N21" s="1" t="s">
        <v>8</v>
      </c>
      <c r="O21" s="1" t="s">
        <v>9</v>
      </c>
      <c r="Q21" s="1" t="s">
        <v>3</v>
      </c>
      <c r="R21" s="1" t="s">
        <v>4</v>
      </c>
      <c r="S21" s="1" t="s">
        <v>5</v>
      </c>
      <c r="T21" s="1" t="s">
        <v>6</v>
      </c>
      <c r="U21" s="1" t="s">
        <v>7</v>
      </c>
      <c r="V21" s="1" t="s">
        <v>8</v>
      </c>
      <c r="W21" s="1" t="s">
        <v>9</v>
      </c>
    </row>
    <row r="22" spans="1:23" x14ac:dyDescent="0.3">
      <c r="A22" s="1" t="s">
        <v>3</v>
      </c>
      <c r="B22" s="1" t="s">
        <v>4</v>
      </c>
      <c r="C22" s="1" t="s">
        <v>5</v>
      </c>
      <c r="D22" s="1" t="s">
        <v>6</v>
      </c>
      <c r="E22" s="1" t="s">
        <v>7</v>
      </c>
      <c r="F22" s="1" t="s">
        <v>8</v>
      </c>
      <c r="G22" s="1" t="s">
        <v>9</v>
      </c>
      <c r="I22" s="1" t="s">
        <v>14</v>
      </c>
      <c r="J22" s="1" t="s">
        <v>15</v>
      </c>
      <c r="K22" s="1" t="s">
        <v>16</v>
      </c>
      <c r="L22" s="1">
        <v>4</v>
      </c>
      <c r="M22" s="1" t="s">
        <v>17</v>
      </c>
      <c r="N22" s="2">
        <v>600000</v>
      </c>
      <c r="O22" s="2">
        <v>90000</v>
      </c>
      <c r="Q22" s="1" t="s">
        <v>14</v>
      </c>
      <c r="R22" s="1" t="s">
        <v>15</v>
      </c>
      <c r="S22" s="1" t="s">
        <v>16</v>
      </c>
      <c r="T22" s="1">
        <v>4</v>
      </c>
      <c r="U22" s="1" t="s">
        <v>17</v>
      </c>
      <c r="V22" s="2">
        <v>600000</v>
      </c>
      <c r="W22" s="2">
        <v>90000</v>
      </c>
    </row>
    <row r="23" spans="1:23" x14ac:dyDescent="0.3">
      <c r="A23" s="1" t="s">
        <v>18</v>
      </c>
      <c r="B23" s="1" t="s">
        <v>15</v>
      </c>
      <c r="C23" s="1" t="s">
        <v>22</v>
      </c>
      <c r="D23" s="1">
        <v>4</v>
      </c>
      <c r="E23" s="1" t="s">
        <v>13</v>
      </c>
      <c r="F23" s="2">
        <v>160000</v>
      </c>
      <c r="G23" s="2">
        <v>24000</v>
      </c>
      <c r="I23" s="1" t="s">
        <v>18</v>
      </c>
      <c r="J23" s="1" t="s">
        <v>11</v>
      </c>
      <c r="K23" s="1" t="s">
        <v>19</v>
      </c>
      <c r="L23" s="1">
        <v>3</v>
      </c>
      <c r="M23" s="1" t="s">
        <v>20</v>
      </c>
      <c r="N23" s="2">
        <v>320000</v>
      </c>
      <c r="O23" s="2">
        <v>128000</v>
      </c>
      <c r="Q23" s="1" t="s">
        <v>18</v>
      </c>
      <c r="R23" s="1" t="s">
        <v>11</v>
      </c>
      <c r="S23" s="1" t="s">
        <v>19</v>
      </c>
      <c r="T23" s="1">
        <v>3</v>
      </c>
      <c r="U23" s="1" t="s">
        <v>20</v>
      </c>
      <c r="V23" s="2">
        <v>320000</v>
      </c>
      <c r="W23" s="2">
        <v>128000</v>
      </c>
    </row>
    <row r="24" spans="1:23" x14ac:dyDescent="0.3">
      <c r="A24" s="1" t="s">
        <v>10</v>
      </c>
      <c r="B24" s="1" t="s">
        <v>15</v>
      </c>
      <c r="C24" s="1" t="s">
        <v>23</v>
      </c>
      <c r="D24" s="1">
        <v>4</v>
      </c>
      <c r="E24" s="1" t="s">
        <v>13</v>
      </c>
      <c r="F24" s="2">
        <v>240000</v>
      </c>
      <c r="G24" s="2">
        <v>36000</v>
      </c>
      <c r="I24" s="1" t="s">
        <v>10</v>
      </c>
      <c r="J24" s="1" t="s">
        <v>15</v>
      </c>
      <c r="K24" s="1" t="s">
        <v>21</v>
      </c>
      <c r="L24" s="1">
        <v>5</v>
      </c>
      <c r="M24" s="1" t="s">
        <v>20</v>
      </c>
      <c r="N24" s="2">
        <v>480000</v>
      </c>
      <c r="O24" s="2">
        <v>72000</v>
      </c>
      <c r="Q24" s="1" t="s">
        <v>18</v>
      </c>
      <c r="R24" s="1" t="s">
        <v>15</v>
      </c>
      <c r="S24" s="1" t="s">
        <v>22</v>
      </c>
      <c r="T24" s="1">
        <v>4</v>
      </c>
      <c r="U24" s="1" t="s">
        <v>13</v>
      </c>
      <c r="V24" s="2">
        <v>160000</v>
      </c>
      <c r="W24" s="2">
        <v>24000</v>
      </c>
    </row>
    <row r="25" spans="1:23" x14ac:dyDescent="0.3">
      <c r="A25" s="1" t="s">
        <v>18</v>
      </c>
      <c r="B25" s="1" t="s">
        <v>15</v>
      </c>
      <c r="C25" s="1" t="s">
        <v>29</v>
      </c>
      <c r="D25" s="1">
        <v>2</v>
      </c>
      <c r="E25" s="1" t="s">
        <v>20</v>
      </c>
      <c r="F25" s="2">
        <v>320000</v>
      </c>
      <c r="G25" s="2">
        <v>48000</v>
      </c>
      <c r="I25" s="1" t="s">
        <v>18</v>
      </c>
      <c r="J25" s="1" t="s">
        <v>15</v>
      </c>
      <c r="K25" s="1" t="s">
        <v>22</v>
      </c>
      <c r="L25" s="1">
        <v>4</v>
      </c>
      <c r="M25" s="1" t="s">
        <v>13</v>
      </c>
      <c r="N25" s="2">
        <v>160000</v>
      </c>
      <c r="O25" s="2">
        <v>24000</v>
      </c>
      <c r="Q25" s="1" t="s">
        <v>18</v>
      </c>
      <c r="R25" s="1" t="s">
        <v>15</v>
      </c>
      <c r="S25" s="1" t="s">
        <v>25</v>
      </c>
      <c r="T25" s="1">
        <v>3</v>
      </c>
      <c r="U25" s="1" t="s">
        <v>17</v>
      </c>
      <c r="V25" s="2">
        <v>480000</v>
      </c>
      <c r="W25" s="2">
        <v>72000</v>
      </c>
    </row>
    <row r="26" spans="1:23" x14ac:dyDescent="0.3">
      <c r="A26" s="1" t="s">
        <v>14</v>
      </c>
      <c r="B26" s="1" t="s">
        <v>15</v>
      </c>
      <c r="C26" s="1" t="s">
        <v>30</v>
      </c>
      <c r="D26" s="1">
        <v>4</v>
      </c>
      <c r="E26" s="1" t="s">
        <v>13</v>
      </c>
      <c r="F26" s="2">
        <v>200000</v>
      </c>
      <c r="G26" s="2">
        <v>30000</v>
      </c>
      <c r="I26" s="1" t="s">
        <v>10</v>
      </c>
      <c r="J26" s="1" t="s">
        <v>15</v>
      </c>
      <c r="K26" s="1" t="s">
        <v>23</v>
      </c>
      <c r="L26" s="1">
        <v>4</v>
      </c>
      <c r="M26" s="1" t="s">
        <v>13</v>
      </c>
      <c r="N26" s="2">
        <v>240000</v>
      </c>
      <c r="O26" s="2">
        <v>36000</v>
      </c>
      <c r="Q26" s="1" t="s">
        <v>14</v>
      </c>
      <c r="R26" s="1" t="s">
        <v>11</v>
      </c>
      <c r="S26" s="1" t="s">
        <v>27</v>
      </c>
      <c r="T26" s="1">
        <v>4</v>
      </c>
      <c r="U26" s="1" t="s">
        <v>13</v>
      </c>
      <c r="V26" s="2">
        <v>200000</v>
      </c>
      <c r="W26" s="2">
        <v>80000</v>
      </c>
    </row>
    <row r="27" spans="1:23" x14ac:dyDescent="0.3">
      <c r="I27" s="1" t="s">
        <v>18</v>
      </c>
      <c r="J27" s="1" t="s">
        <v>15</v>
      </c>
      <c r="K27" s="1" t="s">
        <v>25</v>
      </c>
      <c r="L27" s="1">
        <v>3</v>
      </c>
      <c r="M27" s="1" t="s">
        <v>17</v>
      </c>
      <c r="N27" s="2">
        <v>480000</v>
      </c>
      <c r="O27" s="2">
        <v>72000</v>
      </c>
      <c r="Q27" s="1" t="s">
        <v>18</v>
      </c>
      <c r="R27" s="1" t="s">
        <v>15</v>
      </c>
      <c r="S27" s="1" t="s">
        <v>29</v>
      </c>
      <c r="T27" s="1">
        <v>2</v>
      </c>
      <c r="U27" s="1" t="s">
        <v>20</v>
      </c>
      <c r="V27" s="2">
        <v>320000</v>
      </c>
      <c r="W27" s="2">
        <v>48000</v>
      </c>
    </row>
    <row r="28" spans="1:23" x14ac:dyDescent="0.3">
      <c r="I28" s="1" t="s">
        <v>18</v>
      </c>
      <c r="J28" s="1" t="s">
        <v>15</v>
      </c>
      <c r="K28" s="1" t="s">
        <v>29</v>
      </c>
      <c r="L28" s="1">
        <v>2</v>
      </c>
      <c r="M28" s="1" t="s">
        <v>20</v>
      </c>
      <c r="N28" s="2">
        <v>320000</v>
      </c>
      <c r="O28" s="2">
        <v>48000</v>
      </c>
      <c r="Q28" s="1" t="s">
        <v>14</v>
      </c>
      <c r="R28" s="1" t="s">
        <v>15</v>
      </c>
      <c r="S28" s="1" t="s">
        <v>30</v>
      </c>
      <c r="T28" s="1">
        <v>4</v>
      </c>
      <c r="U28" s="1" t="s">
        <v>13</v>
      </c>
      <c r="V28" s="2">
        <v>200000</v>
      </c>
      <c r="W28" s="2">
        <v>30000</v>
      </c>
    </row>
    <row r="29" spans="1:23" x14ac:dyDescent="0.3">
      <c r="I29" s="1" t="s">
        <v>14</v>
      </c>
      <c r="J29" s="1" t="s">
        <v>15</v>
      </c>
      <c r="K29" s="1" t="s">
        <v>30</v>
      </c>
      <c r="L29" s="1">
        <v>4</v>
      </c>
      <c r="M29" s="1" t="s">
        <v>13</v>
      </c>
      <c r="N29" s="2">
        <v>200000</v>
      </c>
      <c r="O29" s="2">
        <v>30000</v>
      </c>
      <c r="Q29" s="1" t="s">
        <v>18</v>
      </c>
      <c r="R29" s="1" t="s">
        <v>11</v>
      </c>
      <c r="S29" s="1" t="s">
        <v>31</v>
      </c>
      <c r="T29" s="1">
        <v>2</v>
      </c>
      <c r="U29" s="1" t="s">
        <v>13</v>
      </c>
      <c r="V29" s="2">
        <v>160000</v>
      </c>
      <c r="W29" s="2">
        <v>64000</v>
      </c>
    </row>
    <row r="30" spans="1:23" x14ac:dyDescent="0.3">
      <c r="I30" s="1" t="s">
        <v>18</v>
      </c>
      <c r="J30" s="1" t="s">
        <v>11</v>
      </c>
      <c r="K30" s="1" t="s">
        <v>31</v>
      </c>
      <c r="L30" s="1">
        <v>2</v>
      </c>
      <c r="M30" s="1" t="s">
        <v>13</v>
      </c>
      <c r="N30" s="2">
        <v>160000</v>
      </c>
      <c r="O30" s="2">
        <v>64000</v>
      </c>
    </row>
    <row r="33" spans="1:7" x14ac:dyDescent="0.3">
      <c r="A33" t="s">
        <v>126</v>
      </c>
    </row>
    <row r="35" spans="1:7" x14ac:dyDescent="0.3">
      <c r="A35" t="s">
        <v>127</v>
      </c>
      <c r="G35" t="s">
        <v>130</v>
      </c>
    </row>
    <row r="36" spans="1:7" x14ac:dyDescent="0.3">
      <c r="A36" t="s">
        <v>129</v>
      </c>
    </row>
    <row r="37" spans="1:7" x14ac:dyDescent="0.3">
      <c r="A37" t="s">
        <v>128</v>
      </c>
      <c r="G37" t="s">
        <v>130</v>
      </c>
    </row>
    <row r="39" spans="1:7" x14ac:dyDescent="0.3">
      <c r="A39" s="1" t="s">
        <v>3</v>
      </c>
      <c r="B39" s="1" t="s">
        <v>8</v>
      </c>
      <c r="C39" s="1" t="s">
        <v>4</v>
      </c>
      <c r="D39" s="1" t="s">
        <v>9</v>
      </c>
    </row>
    <row r="40" spans="1:7" x14ac:dyDescent="0.3">
      <c r="A40" s="1" t="s">
        <v>18</v>
      </c>
      <c r="B40" t="s">
        <v>131</v>
      </c>
    </row>
    <row r="41" spans="1:7" x14ac:dyDescent="0.3">
      <c r="C41" s="1" t="s">
        <v>15</v>
      </c>
      <c r="D41" t="s">
        <v>132</v>
      </c>
    </row>
    <row r="44" spans="1:7" x14ac:dyDescent="0.3">
      <c r="A44" s="1" t="s">
        <v>3</v>
      </c>
      <c r="B44" s="1" t="s">
        <v>4</v>
      </c>
      <c r="C44" s="1" t="s">
        <v>5</v>
      </c>
      <c r="D44" s="1" t="s">
        <v>6</v>
      </c>
      <c r="E44" s="1" t="s">
        <v>7</v>
      </c>
      <c r="F44" s="1" t="s">
        <v>8</v>
      </c>
      <c r="G44" s="1" t="s">
        <v>9</v>
      </c>
    </row>
    <row r="45" spans="1:7" x14ac:dyDescent="0.3">
      <c r="A45" s="1" t="s">
        <v>18</v>
      </c>
      <c r="B45" s="1" t="s">
        <v>11</v>
      </c>
      <c r="C45" s="1" t="s">
        <v>19</v>
      </c>
      <c r="D45" s="1">
        <v>3</v>
      </c>
      <c r="E45" s="1" t="s">
        <v>20</v>
      </c>
      <c r="F45" s="2">
        <v>320000</v>
      </c>
      <c r="G45" s="2">
        <v>128000</v>
      </c>
    </row>
    <row r="46" spans="1:7" x14ac:dyDescent="0.3">
      <c r="A46" s="1" t="s">
        <v>18</v>
      </c>
      <c r="B46" s="1" t="s">
        <v>15</v>
      </c>
      <c r="C46" s="1" t="s">
        <v>22</v>
      </c>
      <c r="D46" s="1">
        <v>4</v>
      </c>
      <c r="E46" s="1" t="s">
        <v>13</v>
      </c>
      <c r="F46" s="2">
        <v>160000</v>
      </c>
      <c r="G46" s="2">
        <v>24000</v>
      </c>
    </row>
    <row r="47" spans="1:7" x14ac:dyDescent="0.3">
      <c r="A47" s="1" t="s">
        <v>18</v>
      </c>
      <c r="B47" s="1" t="s">
        <v>15</v>
      </c>
      <c r="C47" s="1" t="s">
        <v>25</v>
      </c>
      <c r="D47" s="1">
        <v>3</v>
      </c>
      <c r="E47" s="1" t="s">
        <v>17</v>
      </c>
      <c r="F47" s="2">
        <v>480000</v>
      </c>
      <c r="G47" s="2">
        <v>72000</v>
      </c>
    </row>
    <row r="48" spans="1:7" x14ac:dyDescent="0.3">
      <c r="A48" s="1" t="s">
        <v>18</v>
      </c>
      <c r="B48" s="1" t="s">
        <v>15</v>
      </c>
      <c r="C48" s="1" t="s">
        <v>29</v>
      </c>
      <c r="D48" s="1">
        <v>2</v>
      </c>
      <c r="E48" s="1" t="s">
        <v>20</v>
      </c>
      <c r="F48" s="2">
        <v>320000</v>
      </c>
      <c r="G48" s="2">
        <v>48000</v>
      </c>
    </row>
    <row r="49" spans="1:7" x14ac:dyDescent="0.3">
      <c r="A49" s="1" t="s">
        <v>14</v>
      </c>
      <c r="B49" s="1" t="s">
        <v>15</v>
      </c>
      <c r="C49" s="1" t="s">
        <v>30</v>
      </c>
      <c r="D49" s="1">
        <v>4</v>
      </c>
      <c r="E49" s="1" t="s">
        <v>13</v>
      </c>
      <c r="F49" s="2">
        <v>200000</v>
      </c>
      <c r="G49" s="2">
        <v>30000</v>
      </c>
    </row>
    <row r="54" spans="1:7" x14ac:dyDescent="0.3">
      <c r="A54" s="1" t="s">
        <v>3</v>
      </c>
      <c r="B54" s="1" t="s">
        <v>4</v>
      </c>
      <c r="C54" s="1" t="s">
        <v>8</v>
      </c>
      <c r="D54" s="1" t="s">
        <v>9</v>
      </c>
      <c r="F54" s="6" t="s">
        <v>133</v>
      </c>
    </row>
    <row r="55" spans="1:7" x14ac:dyDescent="0.3">
      <c r="A55" s="1" t="s">
        <v>18</v>
      </c>
      <c r="B55" s="1" t="s">
        <v>15</v>
      </c>
      <c r="C55" s="2">
        <v>160000</v>
      </c>
      <c r="D55" s="2">
        <v>24000</v>
      </c>
      <c r="F55" t="s">
        <v>134</v>
      </c>
    </row>
    <row r="56" spans="1:7" x14ac:dyDescent="0.3">
      <c r="A56" s="1" t="s">
        <v>10</v>
      </c>
      <c r="B56" s="1" t="s">
        <v>15</v>
      </c>
      <c r="C56" s="2">
        <v>240000</v>
      </c>
      <c r="D56" s="2">
        <v>36000</v>
      </c>
    </row>
    <row r="57" spans="1:7" x14ac:dyDescent="0.3">
      <c r="A57" s="1" t="s">
        <v>18</v>
      </c>
      <c r="B57" s="1" t="s">
        <v>15</v>
      </c>
      <c r="C57" s="2">
        <v>320000</v>
      </c>
      <c r="D57" s="2">
        <v>48000</v>
      </c>
    </row>
    <row r="58" spans="1:7" x14ac:dyDescent="0.3">
      <c r="A58" s="1" t="s">
        <v>14</v>
      </c>
      <c r="B58" s="1" t="s">
        <v>15</v>
      </c>
      <c r="C58" s="2">
        <v>200000</v>
      </c>
      <c r="D58" s="2">
        <v>30000</v>
      </c>
    </row>
  </sheetData>
  <mergeCells count="1">
    <mergeCell ref="A1:G1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26"/>
  <sheetViews>
    <sheetView workbookViewId="0">
      <selection sqref="A1:G1"/>
    </sheetView>
  </sheetViews>
  <sheetFormatPr defaultRowHeight="16.5" x14ac:dyDescent="0.3"/>
  <sheetData>
    <row r="1" spans="1:7" ht="20.25" x14ac:dyDescent="0.3">
      <c r="A1" s="4" t="s">
        <v>1</v>
      </c>
      <c r="B1" s="4"/>
      <c r="C1" s="4"/>
      <c r="D1" s="4"/>
      <c r="E1" s="4"/>
      <c r="F1" s="4"/>
      <c r="G1" s="4"/>
    </row>
    <row r="3" spans="1:7" x14ac:dyDescent="0.3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</row>
    <row r="4" spans="1:7" x14ac:dyDescent="0.3">
      <c r="A4" s="1" t="s">
        <v>10</v>
      </c>
      <c r="B4" s="1" t="s">
        <v>11</v>
      </c>
      <c r="C4" s="1" t="s">
        <v>12</v>
      </c>
      <c r="D4" s="1">
        <v>2</v>
      </c>
      <c r="E4" s="1" t="s">
        <v>13</v>
      </c>
      <c r="F4" s="2">
        <v>240000</v>
      </c>
      <c r="G4" s="2">
        <v>96000</v>
      </c>
    </row>
    <row r="5" spans="1:7" x14ac:dyDescent="0.3">
      <c r="A5" s="1" t="s">
        <v>14</v>
      </c>
      <c r="B5" s="1" t="s">
        <v>15</v>
      </c>
      <c r="C5" s="1" t="s">
        <v>16</v>
      </c>
      <c r="D5" s="1">
        <v>4</v>
      </c>
      <c r="E5" s="1" t="s">
        <v>17</v>
      </c>
      <c r="F5" s="2">
        <v>600000</v>
      </c>
      <c r="G5" s="2">
        <v>90000</v>
      </c>
    </row>
    <row r="6" spans="1:7" x14ac:dyDescent="0.3">
      <c r="A6" s="1" t="s">
        <v>18</v>
      </c>
      <c r="B6" s="1" t="s">
        <v>11</v>
      </c>
      <c r="C6" s="1" t="s">
        <v>19</v>
      </c>
      <c r="D6" s="1">
        <v>3</v>
      </c>
      <c r="E6" s="1" t="s">
        <v>20</v>
      </c>
      <c r="F6" s="2">
        <v>320000</v>
      </c>
      <c r="G6" s="2">
        <v>128000</v>
      </c>
    </row>
    <row r="7" spans="1:7" x14ac:dyDescent="0.3">
      <c r="A7" s="1" t="s">
        <v>10</v>
      </c>
      <c r="B7" s="1" t="s">
        <v>15</v>
      </c>
      <c r="C7" s="1" t="s">
        <v>21</v>
      </c>
      <c r="D7" s="1">
        <v>5</v>
      </c>
      <c r="E7" s="1" t="s">
        <v>20</v>
      </c>
      <c r="F7" s="2">
        <v>480000</v>
      </c>
      <c r="G7" s="2">
        <v>72000</v>
      </c>
    </row>
    <row r="8" spans="1:7" x14ac:dyDescent="0.3">
      <c r="A8" s="1" t="s">
        <v>18</v>
      </c>
      <c r="B8" s="1" t="s">
        <v>15</v>
      </c>
      <c r="C8" s="1" t="s">
        <v>22</v>
      </c>
      <c r="D8" s="1">
        <v>4</v>
      </c>
      <c r="E8" s="1" t="s">
        <v>13</v>
      </c>
      <c r="F8" s="2">
        <v>160000</v>
      </c>
      <c r="G8" s="2">
        <v>24000</v>
      </c>
    </row>
    <row r="9" spans="1:7" x14ac:dyDescent="0.3">
      <c r="A9" s="1" t="s">
        <v>10</v>
      </c>
      <c r="B9" s="1" t="s">
        <v>15</v>
      </c>
      <c r="C9" s="1" t="s">
        <v>23</v>
      </c>
      <c r="D9" s="1">
        <v>4</v>
      </c>
      <c r="E9" s="1" t="s">
        <v>13</v>
      </c>
      <c r="F9" s="2">
        <v>240000</v>
      </c>
      <c r="G9" s="2">
        <v>36000</v>
      </c>
    </row>
    <row r="10" spans="1:7" x14ac:dyDescent="0.3">
      <c r="A10" s="1" t="s">
        <v>18</v>
      </c>
      <c r="B10" s="1" t="s">
        <v>24</v>
      </c>
      <c r="C10" s="1" t="s">
        <v>25</v>
      </c>
      <c r="D10" s="1">
        <v>3</v>
      </c>
      <c r="E10" s="1" t="s">
        <v>17</v>
      </c>
      <c r="F10" s="2">
        <v>480000</v>
      </c>
      <c r="G10" s="2">
        <v>72000</v>
      </c>
    </row>
    <row r="11" spans="1:7" x14ac:dyDescent="0.3">
      <c r="A11" s="1" t="s">
        <v>14</v>
      </c>
      <c r="B11" s="1" t="s">
        <v>26</v>
      </c>
      <c r="C11" s="1" t="s">
        <v>27</v>
      </c>
      <c r="D11" s="1">
        <v>4</v>
      </c>
      <c r="E11" s="1" t="s">
        <v>13</v>
      </c>
      <c r="F11" s="2">
        <v>200000</v>
      </c>
      <c r="G11" s="2">
        <v>80000</v>
      </c>
    </row>
    <row r="12" spans="1:7" x14ac:dyDescent="0.3">
      <c r="A12" s="1" t="s">
        <v>10</v>
      </c>
      <c r="B12" s="1" t="s">
        <v>11</v>
      </c>
      <c r="C12" s="1" t="s">
        <v>28</v>
      </c>
      <c r="D12" s="1">
        <v>5</v>
      </c>
      <c r="E12" s="1" t="s">
        <v>20</v>
      </c>
      <c r="F12" s="2">
        <v>480000</v>
      </c>
      <c r="G12" s="2">
        <v>192000</v>
      </c>
    </row>
    <row r="13" spans="1:7" x14ac:dyDescent="0.3">
      <c r="A13" s="1" t="s">
        <v>18</v>
      </c>
      <c r="B13" s="1" t="s">
        <v>15</v>
      </c>
      <c r="C13" s="1" t="s">
        <v>29</v>
      </c>
      <c r="D13" s="1">
        <v>2</v>
      </c>
      <c r="E13" s="1" t="s">
        <v>20</v>
      </c>
      <c r="F13" s="2">
        <v>320000</v>
      </c>
      <c r="G13" s="2">
        <v>48000</v>
      </c>
    </row>
    <row r="14" spans="1:7" x14ac:dyDescent="0.3">
      <c r="A14" s="1" t="s">
        <v>14</v>
      </c>
      <c r="B14" s="1" t="s">
        <v>15</v>
      </c>
      <c r="C14" s="1" t="s">
        <v>30</v>
      </c>
      <c r="D14" s="1">
        <v>4</v>
      </c>
      <c r="E14" s="1" t="s">
        <v>13</v>
      </c>
      <c r="F14" s="2">
        <v>200000</v>
      </c>
      <c r="G14" s="2">
        <v>30000</v>
      </c>
    </row>
    <row r="15" spans="1:7" x14ac:dyDescent="0.3">
      <c r="A15" s="1" t="s">
        <v>18</v>
      </c>
      <c r="B15" s="1" t="s">
        <v>11</v>
      </c>
      <c r="C15" s="1" t="s">
        <v>31</v>
      </c>
      <c r="D15" s="1">
        <v>2</v>
      </c>
      <c r="E15" s="1" t="s">
        <v>13</v>
      </c>
      <c r="F15" s="2">
        <v>160000</v>
      </c>
      <c r="G15" s="2">
        <v>64000</v>
      </c>
    </row>
    <row r="18" spans="1:7" x14ac:dyDescent="0.3">
      <c r="A18" s="1" t="s">
        <v>4</v>
      </c>
      <c r="B18" s="1" t="s">
        <v>9</v>
      </c>
    </row>
    <row r="19" spans="1:7" x14ac:dyDescent="0.3">
      <c r="A19" s="1" t="s">
        <v>15</v>
      </c>
      <c r="B19" s="3" t="s">
        <v>118</v>
      </c>
    </row>
    <row r="22" spans="1:7" x14ac:dyDescent="0.3">
      <c r="A22" s="1" t="s">
        <v>3</v>
      </c>
      <c r="B22" s="1" t="s">
        <v>4</v>
      </c>
      <c r="C22" s="1" t="s">
        <v>5</v>
      </c>
      <c r="D22" s="1" t="s">
        <v>6</v>
      </c>
      <c r="E22" s="1" t="s">
        <v>7</v>
      </c>
      <c r="F22" s="1" t="s">
        <v>8</v>
      </c>
      <c r="G22" s="1" t="s">
        <v>9</v>
      </c>
    </row>
    <row r="23" spans="1:7" x14ac:dyDescent="0.3">
      <c r="A23" s="1" t="s">
        <v>18</v>
      </c>
      <c r="B23" s="1" t="s">
        <v>15</v>
      </c>
      <c r="C23" s="1" t="s">
        <v>22</v>
      </c>
      <c r="D23" s="1">
        <v>4</v>
      </c>
      <c r="E23" s="1" t="s">
        <v>13</v>
      </c>
      <c r="F23" s="2">
        <v>160000</v>
      </c>
      <c r="G23" s="2">
        <v>24000</v>
      </c>
    </row>
    <row r="24" spans="1:7" x14ac:dyDescent="0.3">
      <c r="A24" s="1" t="s">
        <v>10</v>
      </c>
      <c r="B24" s="1" t="s">
        <v>15</v>
      </c>
      <c r="C24" s="1" t="s">
        <v>23</v>
      </c>
      <c r="D24" s="1">
        <v>4</v>
      </c>
      <c r="E24" s="1" t="s">
        <v>13</v>
      </c>
      <c r="F24" s="2">
        <v>240000</v>
      </c>
      <c r="G24" s="2">
        <v>36000</v>
      </c>
    </row>
    <row r="25" spans="1:7" x14ac:dyDescent="0.3">
      <c r="A25" s="1" t="s">
        <v>18</v>
      </c>
      <c r="B25" s="1" t="s">
        <v>15</v>
      </c>
      <c r="C25" s="1" t="s">
        <v>29</v>
      </c>
      <c r="D25" s="1">
        <v>2</v>
      </c>
      <c r="E25" s="1" t="s">
        <v>20</v>
      </c>
      <c r="F25" s="2">
        <v>320000</v>
      </c>
      <c r="G25" s="2">
        <v>48000</v>
      </c>
    </row>
    <row r="26" spans="1:7" x14ac:dyDescent="0.3">
      <c r="A26" s="1" t="s">
        <v>14</v>
      </c>
      <c r="B26" s="1" t="s">
        <v>15</v>
      </c>
      <c r="C26" s="1" t="s">
        <v>30</v>
      </c>
      <c r="D26" s="1">
        <v>4</v>
      </c>
      <c r="E26" s="1" t="s">
        <v>13</v>
      </c>
      <c r="F26" s="2">
        <v>200000</v>
      </c>
      <c r="G26" s="2">
        <v>30000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29"/>
  <sheetViews>
    <sheetView topLeftCell="A2" workbookViewId="0">
      <selection activeCell="O13" sqref="O13"/>
    </sheetView>
  </sheetViews>
  <sheetFormatPr defaultRowHeight="16.5" x14ac:dyDescent="0.3"/>
  <sheetData>
    <row r="1" spans="1:16" ht="20.25" x14ac:dyDescent="0.3">
      <c r="A1" s="4" t="s">
        <v>2</v>
      </c>
      <c r="B1" s="4"/>
      <c r="C1" s="4"/>
      <c r="D1" s="4"/>
      <c r="E1" s="4"/>
      <c r="F1" s="4"/>
      <c r="G1" s="4"/>
    </row>
    <row r="3" spans="1:16" x14ac:dyDescent="0.3">
      <c r="A3" s="1" t="s">
        <v>32</v>
      </c>
      <c r="B3" s="1" t="s">
        <v>33</v>
      </c>
      <c r="C3" s="1" t="s">
        <v>34</v>
      </c>
      <c r="D3" s="1" t="s">
        <v>35</v>
      </c>
      <c r="E3" s="1" t="s">
        <v>36</v>
      </c>
      <c r="F3" s="1" t="s">
        <v>37</v>
      </c>
      <c r="G3" s="1" t="s">
        <v>38</v>
      </c>
      <c r="J3" s="7" t="s">
        <v>135</v>
      </c>
    </row>
    <row r="4" spans="1:16" x14ac:dyDescent="0.3">
      <c r="A4" s="1">
        <v>2503001</v>
      </c>
      <c r="B4" s="1" t="s">
        <v>39</v>
      </c>
      <c r="C4" s="1" t="s">
        <v>40</v>
      </c>
      <c r="D4" s="1">
        <v>84</v>
      </c>
      <c r="E4" s="1">
        <v>88</v>
      </c>
      <c r="F4" s="1">
        <v>90</v>
      </c>
      <c r="G4" s="1">
        <v>262</v>
      </c>
    </row>
    <row r="5" spans="1:16" x14ac:dyDescent="0.3">
      <c r="A5" s="1">
        <v>2503002</v>
      </c>
      <c r="B5" s="1" t="s">
        <v>41</v>
      </c>
      <c r="C5" s="1" t="s">
        <v>42</v>
      </c>
      <c r="D5" s="1">
        <v>96</v>
      </c>
      <c r="E5" s="1">
        <v>97</v>
      </c>
      <c r="F5" s="1">
        <v>95</v>
      </c>
      <c r="G5" s="1">
        <v>288</v>
      </c>
      <c r="J5" s="1" t="s">
        <v>34</v>
      </c>
      <c r="K5" t="s">
        <v>136</v>
      </c>
      <c r="M5" t="s">
        <v>139</v>
      </c>
    </row>
    <row r="6" spans="1:16" x14ac:dyDescent="0.3">
      <c r="A6" s="1">
        <v>2503003</v>
      </c>
      <c r="B6" s="1" t="s">
        <v>43</v>
      </c>
      <c r="C6" s="1" t="s">
        <v>42</v>
      </c>
      <c r="D6" s="1">
        <v>75</v>
      </c>
      <c r="E6" s="1">
        <v>77</v>
      </c>
      <c r="F6" s="1">
        <v>80</v>
      </c>
      <c r="G6" s="1">
        <v>232</v>
      </c>
      <c r="J6" s="1" t="s">
        <v>40</v>
      </c>
      <c r="K6" t="b">
        <f>E4&lt;F4</f>
        <v>1</v>
      </c>
      <c r="M6" s="5" t="s">
        <v>137</v>
      </c>
      <c r="N6" t="s">
        <v>138</v>
      </c>
    </row>
    <row r="7" spans="1:16" x14ac:dyDescent="0.3">
      <c r="A7" s="1">
        <v>2503004</v>
      </c>
      <c r="B7" s="1" t="s">
        <v>44</v>
      </c>
      <c r="C7" s="1" t="s">
        <v>40</v>
      </c>
      <c r="D7" s="1">
        <v>59</v>
      </c>
      <c r="E7" s="1">
        <v>52</v>
      </c>
      <c r="F7" s="1">
        <v>62</v>
      </c>
      <c r="G7" s="1">
        <v>173</v>
      </c>
    </row>
    <row r="8" spans="1:16" x14ac:dyDescent="0.3">
      <c r="A8" s="1">
        <v>2503005</v>
      </c>
      <c r="B8" s="1" t="s">
        <v>46</v>
      </c>
      <c r="C8" s="1" t="s">
        <v>40</v>
      </c>
      <c r="D8" s="1">
        <v>62</v>
      </c>
      <c r="E8" s="1">
        <v>69</v>
      </c>
      <c r="F8" s="1">
        <v>80</v>
      </c>
      <c r="G8" s="1">
        <v>211</v>
      </c>
    </row>
    <row r="9" spans="1:16" x14ac:dyDescent="0.3">
      <c r="A9" s="1">
        <v>2503006</v>
      </c>
      <c r="B9" s="1" t="s">
        <v>47</v>
      </c>
      <c r="C9" s="1" t="s">
        <v>42</v>
      </c>
      <c r="D9" s="1">
        <v>81</v>
      </c>
      <c r="E9" s="1">
        <v>84</v>
      </c>
      <c r="F9" s="1">
        <v>90</v>
      </c>
      <c r="G9" s="1">
        <v>255</v>
      </c>
      <c r="J9" s="1" t="s">
        <v>32</v>
      </c>
      <c r="K9" s="1" t="s">
        <v>33</v>
      </c>
      <c r="L9" s="1" t="s">
        <v>34</v>
      </c>
      <c r="M9" s="1" t="s">
        <v>35</v>
      </c>
      <c r="N9" s="1" t="s">
        <v>36</v>
      </c>
      <c r="O9" s="1" t="s">
        <v>37</v>
      </c>
      <c r="P9" s="1" t="s">
        <v>38</v>
      </c>
    </row>
    <row r="10" spans="1:16" x14ac:dyDescent="0.3">
      <c r="A10" s="1">
        <v>2503007</v>
      </c>
      <c r="B10" s="1" t="s">
        <v>49</v>
      </c>
      <c r="C10" s="1" t="s">
        <v>40</v>
      </c>
      <c r="D10" s="1">
        <v>91</v>
      </c>
      <c r="E10" s="1">
        <v>90</v>
      </c>
      <c r="F10" s="1">
        <v>84</v>
      </c>
      <c r="G10" s="1">
        <v>265</v>
      </c>
      <c r="J10" s="1">
        <v>2503001</v>
      </c>
      <c r="K10" s="1" t="s">
        <v>39</v>
      </c>
      <c r="L10" s="1" t="s">
        <v>40</v>
      </c>
      <c r="M10" s="1">
        <v>84</v>
      </c>
      <c r="N10" s="1">
        <v>88</v>
      </c>
      <c r="O10" s="1">
        <v>90</v>
      </c>
      <c r="P10" s="1">
        <v>262</v>
      </c>
    </row>
    <row r="11" spans="1:16" x14ac:dyDescent="0.3">
      <c r="A11" s="1">
        <v>2503008</v>
      </c>
      <c r="B11" s="1" t="s">
        <v>51</v>
      </c>
      <c r="C11" s="1" t="s">
        <v>42</v>
      </c>
      <c r="D11" s="1">
        <v>97</v>
      </c>
      <c r="E11" s="1">
        <v>95</v>
      </c>
      <c r="F11" s="1">
        <v>92</v>
      </c>
      <c r="G11" s="1">
        <v>284</v>
      </c>
      <c r="J11" s="1">
        <v>2503004</v>
      </c>
      <c r="K11" s="1" t="s">
        <v>44</v>
      </c>
      <c r="L11" s="1" t="s">
        <v>40</v>
      </c>
      <c r="M11" s="1">
        <v>59</v>
      </c>
      <c r="N11" s="1">
        <v>52</v>
      </c>
      <c r="O11" s="1">
        <v>62</v>
      </c>
      <c r="P11" s="1">
        <v>173</v>
      </c>
    </row>
    <row r="12" spans="1:16" x14ac:dyDescent="0.3">
      <c r="A12" s="1">
        <v>2503009</v>
      </c>
      <c r="B12" s="1" t="s">
        <v>52</v>
      </c>
      <c r="C12" s="1" t="s">
        <v>42</v>
      </c>
      <c r="D12" s="1">
        <v>83</v>
      </c>
      <c r="E12" s="1">
        <v>86</v>
      </c>
      <c r="F12" s="1">
        <v>90</v>
      </c>
      <c r="G12" s="1">
        <v>259</v>
      </c>
      <c r="J12" s="1">
        <v>2503005</v>
      </c>
      <c r="K12" s="1" t="s">
        <v>46</v>
      </c>
      <c r="L12" s="1" t="s">
        <v>40</v>
      </c>
      <c r="M12" s="1">
        <v>62</v>
      </c>
      <c r="N12" s="1">
        <v>69</v>
      </c>
      <c r="O12" s="1">
        <v>80</v>
      </c>
      <c r="P12" s="1">
        <v>211</v>
      </c>
    </row>
    <row r="13" spans="1:16" x14ac:dyDescent="0.3">
      <c r="A13" s="1">
        <v>2503010</v>
      </c>
      <c r="B13" s="1" t="s">
        <v>54</v>
      </c>
      <c r="C13" s="1" t="s">
        <v>42</v>
      </c>
      <c r="D13" s="1">
        <v>85</v>
      </c>
      <c r="E13" s="1">
        <v>88</v>
      </c>
      <c r="F13" s="1">
        <v>82</v>
      </c>
      <c r="G13" s="1">
        <v>255</v>
      </c>
      <c r="J13" s="1">
        <v>2503011</v>
      </c>
      <c r="K13" s="1" t="s">
        <v>56</v>
      </c>
      <c r="L13" s="1" t="s">
        <v>40</v>
      </c>
      <c r="M13" s="1">
        <v>96</v>
      </c>
      <c r="N13" s="1">
        <v>94</v>
      </c>
      <c r="O13" s="1">
        <v>95</v>
      </c>
      <c r="P13" s="1">
        <v>285</v>
      </c>
    </row>
    <row r="14" spans="1:16" x14ac:dyDescent="0.3">
      <c r="A14" s="1">
        <v>2503011</v>
      </c>
      <c r="B14" s="1" t="s">
        <v>56</v>
      </c>
      <c r="C14" s="1" t="s">
        <v>40</v>
      </c>
      <c r="D14" s="1">
        <v>96</v>
      </c>
      <c r="E14" s="1">
        <v>94</v>
      </c>
      <c r="F14" s="1">
        <v>95</v>
      </c>
      <c r="G14" s="1">
        <v>285</v>
      </c>
    </row>
    <row r="15" spans="1:16" x14ac:dyDescent="0.3">
      <c r="A15" s="1">
        <v>2503012</v>
      </c>
      <c r="B15" s="1" t="s">
        <v>57</v>
      </c>
      <c r="C15" s="1" t="s">
        <v>42</v>
      </c>
      <c r="D15" s="1">
        <v>77</v>
      </c>
      <c r="E15" s="1">
        <v>76</v>
      </c>
      <c r="F15" s="1">
        <v>78</v>
      </c>
      <c r="G15" s="1">
        <v>231</v>
      </c>
    </row>
    <row r="16" spans="1:16" x14ac:dyDescent="0.3">
      <c r="A16" s="1">
        <v>2503013</v>
      </c>
      <c r="B16" s="1" t="s">
        <v>58</v>
      </c>
      <c r="C16" s="1" t="s">
        <v>42</v>
      </c>
      <c r="D16" s="1">
        <v>57</v>
      </c>
      <c r="E16" s="1">
        <v>52</v>
      </c>
      <c r="F16" s="1">
        <v>60</v>
      </c>
      <c r="G16" s="1">
        <v>169</v>
      </c>
    </row>
    <row r="17" spans="1:7" x14ac:dyDescent="0.3">
      <c r="A17" s="1">
        <v>2503014</v>
      </c>
      <c r="B17" s="1" t="s">
        <v>59</v>
      </c>
      <c r="C17" s="1" t="s">
        <v>40</v>
      </c>
      <c r="D17" s="1">
        <v>68</v>
      </c>
      <c r="E17" s="1">
        <v>69</v>
      </c>
      <c r="F17" s="1">
        <v>62</v>
      </c>
      <c r="G17" s="1">
        <v>199</v>
      </c>
    </row>
    <row r="18" spans="1:7" x14ac:dyDescent="0.3">
      <c r="A18" s="1">
        <v>2503015</v>
      </c>
      <c r="B18" s="1" t="s">
        <v>60</v>
      </c>
      <c r="C18" s="1" t="s">
        <v>40</v>
      </c>
      <c r="D18" s="1">
        <v>85</v>
      </c>
      <c r="E18" s="1">
        <v>87</v>
      </c>
      <c r="F18" s="1">
        <v>87</v>
      </c>
      <c r="G18" s="1">
        <v>259</v>
      </c>
    </row>
    <row r="20" spans="1:7" x14ac:dyDescent="0.3">
      <c r="A20" s="1" t="s">
        <v>34</v>
      </c>
      <c r="B20" s="1" t="s">
        <v>38</v>
      </c>
    </row>
    <row r="21" spans="1:7" x14ac:dyDescent="0.3">
      <c r="A21" s="1" t="s">
        <v>40</v>
      </c>
      <c r="B21" s="3" t="s">
        <v>119</v>
      </c>
    </row>
    <row r="25" spans="1:7" x14ac:dyDescent="0.3">
      <c r="A25" s="1" t="s">
        <v>32</v>
      </c>
      <c r="B25" s="1" t="s">
        <v>33</v>
      </c>
      <c r="C25" s="1" t="s">
        <v>35</v>
      </c>
      <c r="D25" s="1" t="s">
        <v>36</v>
      </c>
      <c r="E25" s="1" t="s">
        <v>37</v>
      </c>
    </row>
    <row r="26" spans="1:7" x14ac:dyDescent="0.3">
      <c r="A26" s="1">
        <v>2503001</v>
      </c>
      <c r="B26" s="1" t="s">
        <v>39</v>
      </c>
      <c r="C26" s="1">
        <v>84</v>
      </c>
      <c r="D26" s="1">
        <v>88</v>
      </c>
      <c r="E26" s="1">
        <v>90</v>
      </c>
    </row>
    <row r="27" spans="1:7" x14ac:dyDescent="0.3">
      <c r="A27" s="1">
        <v>2503007</v>
      </c>
      <c r="B27" s="1" t="s">
        <v>49</v>
      </c>
      <c r="C27" s="1">
        <v>91</v>
      </c>
      <c r="D27" s="1">
        <v>90</v>
      </c>
      <c r="E27" s="1">
        <v>84</v>
      </c>
    </row>
    <row r="28" spans="1:7" x14ac:dyDescent="0.3">
      <c r="A28" s="1">
        <v>2503011</v>
      </c>
      <c r="B28" s="1" t="s">
        <v>56</v>
      </c>
      <c r="C28" s="1">
        <v>96</v>
      </c>
      <c r="D28" s="1">
        <v>94</v>
      </c>
      <c r="E28" s="1">
        <v>95</v>
      </c>
    </row>
    <row r="29" spans="1:7" x14ac:dyDescent="0.3">
      <c r="A29" s="1">
        <v>2503015</v>
      </c>
      <c r="B29" s="1" t="s">
        <v>60</v>
      </c>
      <c r="C29" s="1">
        <v>85</v>
      </c>
      <c r="D29" s="1">
        <v>87</v>
      </c>
      <c r="E29" s="1">
        <v>87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29"/>
  <sheetViews>
    <sheetView workbookViewId="0">
      <selection sqref="A1:G1"/>
    </sheetView>
  </sheetViews>
  <sheetFormatPr defaultRowHeight="16.5" x14ac:dyDescent="0.3"/>
  <sheetData>
    <row r="1" spans="1:7" ht="20.25" x14ac:dyDescent="0.3">
      <c r="A1" s="4" t="s">
        <v>2</v>
      </c>
      <c r="B1" s="4"/>
      <c r="C1" s="4"/>
      <c r="D1" s="4"/>
      <c r="E1" s="4"/>
      <c r="F1" s="4"/>
      <c r="G1" s="4"/>
    </row>
    <row r="3" spans="1:7" x14ac:dyDescent="0.3">
      <c r="A3" s="1" t="s">
        <v>32</v>
      </c>
      <c r="B3" s="1" t="s">
        <v>33</v>
      </c>
      <c r="C3" s="1" t="s">
        <v>34</v>
      </c>
      <c r="D3" s="1" t="s">
        <v>35</v>
      </c>
      <c r="E3" s="1" t="s">
        <v>36</v>
      </c>
      <c r="F3" s="1" t="s">
        <v>37</v>
      </c>
      <c r="G3" s="1" t="s">
        <v>38</v>
      </c>
    </row>
    <row r="4" spans="1:7" x14ac:dyDescent="0.3">
      <c r="A4" s="1">
        <v>2503001</v>
      </c>
      <c r="B4" s="1" t="s">
        <v>39</v>
      </c>
      <c r="C4" s="1" t="s">
        <v>40</v>
      </c>
      <c r="D4" s="1">
        <v>84</v>
      </c>
      <c r="E4" s="1">
        <v>88</v>
      </c>
      <c r="F4" s="1">
        <v>90</v>
      </c>
      <c r="G4" s="1">
        <v>262</v>
      </c>
    </row>
    <row r="5" spans="1:7" x14ac:dyDescent="0.3">
      <c r="A5" s="1">
        <v>2503002</v>
      </c>
      <c r="B5" s="1" t="s">
        <v>41</v>
      </c>
      <c r="C5" s="1" t="s">
        <v>42</v>
      </c>
      <c r="D5" s="1">
        <v>96</v>
      </c>
      <c r="E5" s="1">
        <v>97</v>
      </c>
      <c r="F5" s="1">
        <v>95</v>
      </c>
      <c r="G5" s="1">
        <v>288</v>
      </c>
    </row>
    <row r="6" spans="1:7" x14ac:dyDescent="0.3">
      <c r="A6" s="1">
        <v>2503003</v>
      </c>
      <c r="B6" s="1" t="s">
        <v>43</v>
      </c>
      <c r="C6" s="1" t="s">
        <v>42</v>
      </c>
      <c r="D6" s="1">
        <v>75</v>
      </c>
      <c r="E6" s="1">
        <v>77</v>
      </c>
      <c r="F6" s="1">
        <v>80</v>
      </c>
      <c r="G6" s="1">
        <v>232</v>
      </c>
    </row>
    <row r="7" spans="1:7" x14ac:dyDescent="0.3">
      <c r="A7" s="1">
        <v>2503004</v>
      </c>
      <c r="B7" s="1" t="s">
        <v>44</v>
      </c>
      <c r="C7" s="1" t="s">
        <v>45</v>
      </c>
      <c r="D7" s="1">
        <v>59</v>
      </c>
      <c r="E7" s="1">
        <v>52</v>
      </c>
      <c r="F7" s="1">
        <v>62</v>
      </c>
      <c r="G7" s="1">
        <v>173</v>
      </c>
    </row>
    <row r="8" spans="1:7" x14ac:dyDescent="0.3">
      <c r="A8" s="1">
        <v>2503005</v>
      </c>
      <c r="B8" s="1" t="s">
        <v>46</v>
      </c>
      <c r="C8" s="1" t="s">
        <v>45</v>
      </c>
      <c r="D8" s="1">
        <v>62</v>
      </c>
      <c r="E8" s="1">
        <v>69</v>
      </c>
      <c r="F8" s="1">
        <v>80</v>
      </c>
      <c r="G8" s="1">
        <v>211</v>
      </c>
    </row>
    <row r="9" spans="1:7" x14ac:dyDescent="0.3">
      <c r="A9" s="1">
        <v>2503006</v>
      </c>
      <c r="B9" s="1" t="s">
        <v>47</v>
      </c>
      <c r="C9" s="1" t="s">
        <v>48</v>
      </c>
      <c r="D9" s="1">
        <v>81</v>
      </c>
      <c r="E9" s="1">
        <v>84</v>
      </c>
      <c r="F9" s="1">
        <v>90</v>
      </c>
      <c r="G9" s="1">
        <v>255</v>
      </c>
    </row>
    <row r="10" spans="1:7" x14ac:dyDescent="0.3">
      <c r="A10" s="1">
        <v>2503007</v>
      </c>
      <c r="B10" s="1" t="s">
        <v>49</v>
      </c>
      <c r="C10" s="1" t="s">
        <v>50</v>
      </c>
      <c r="D10" s="1">
        <v>91</v>
      </c>
      <c r="E10" s="1">
        <v>90</v>
      </c>
      <c r="F10" s="1">
        <v>84</v>
      </c>
      <c r="G10" s="1">
        <v>265</v>
      </c>
    </row>
    <row r="11" spans="1:7" x14ac:dyDescent="0.3">
      <c r="A11" s="1">
        <v>2503008</v>
      </c>
      <c r="B11" s="1" t="s">
        <v>51</v>
      </c>
      <c r="C11" s="1" t="s">
        <v>48</v>
      </c>
      <c r="D11" s="1">
        <v>97</v>
      </c>
      <c r="E11" s="1">
        <v>95</v>
      </c>
      <c r="F11" s="1">
        <v>92</v>
      </c>
      <c r="G11" s="1">
        <v>284</v>
      </c>
    </row>
    <row r="12" spans="1:7" x14ac:dyDescent="0.3">
      <c r="A12" s="1">
        <v>2503009</v>
      </c>
      <c r="B12" s="1" t="s">
        <v>52</v>
      </c>
      <c r="C12" s="1" t="s">
        <v>53</v>
      </c>
      <c r="D12" s="1">
        <v>83</v>
      </c>
      <c r="E12" s="1">
        <v>86</v>
      </c>
      <c r="F12" s="1">
        <v>90</v>
      </c>
      <c r="G12" s="1">
        <v>259</v>
      </c>
    </row>
    <row r="13" spans="1:7" x14ac:dyDescent="0.3">
      <c r="A13" s="1">
        <v>2503010</v>
      </c>
      <c r="B13" s="1" t="s">
        <v>54</v>
      </c>
      <c r="C13" s="1" t="s">
        <v>55</v>
      </c>
      <c r="D13" s="1">
        <v>85</v>
      </c>
      <c r="E13" s="1">
        <v>88</v>
      </c>
      <c r="F13" s="1">
        <v>82</v>
      </c>
      <c r="G13" s="1">
        <v>255</v>
      </c>
    </row>
    <row r="14" spans="1:7" x14ac:dyDescent="0.3">
      <c r="A14" s="1">
        <v>2503011</v>
      </c>
      <c r="B14" s="1" t="s">
        <v>56</v>
      </c>
      <c r="C14" s="1" t="s">
        <v>40</v>
      </c>
      <c r="D14" s="1">
        <v>96</v>
      </c>
      <c r="E14" s="1">
        <v>94</v>
      </c>
      <c r="F14" s="1">
        <v>95</v>
      </c>
      <c r="G14" s="1">
        <v>285</v>
      </c>
    </row>
    <row r="15" spans="1:7" x14ac:dyDescent="0.3">
      <c r="A15" s="1">
        <v>2503012</v>
      </c>
      <c r="B15" s="1" t="s">
        <v>57</v>
      </c>
      <c r="C15" s="1" t="s">
        <v>53</v>
      </c>
      <c r="D15" s="1">
        <v>77</v>
      </c>
      <c r="E15" s="1">
        <v>76</v>
      </c>
      <c r="F15" s="1">
        <v>78</v>
      </c>
      <c r="G15" s="1">
        <v>231</v>
      </c>
    </row>
    <row r="16" spans="1:7" x14ac:dyDescent="0.3">
      <c r="A16" s="1">
        <v>2503013</v>
      </c>
      <c r="B16" s="1" t="s">
        <v>58</v>
      </c>
      <c r="C16" s="1" t="s">
        <v>53</v>
      </c>
      <c r="D16" s="1">
        <v>57</v>
      </c>
      <c r="E16" s="1">
        <v>52</v>
      </c>
      <c r="F16" s="1">
        <v>60</v>
      </c>
      <c r="G16" s="1">
        <v>169</v>
      </c>
    </row>
    <row r="17" spans="1:7" x14ac:dyDescent="0.3">
      <c r="A17" s="1">
        <v>2503014</v>
      </c>
      <c r="B17" s="1" t="s">
        <v>59</v>
      </c>
      <c r="C17" s="1" t="s">
        <v>45</v>
      </c>
      <c r="D17" s="1">
        <v>68</v>
      </c>
      <c r="E17" s="1">
        <v>69</v>
      </c>
      <c r="F17" s="1">
        <v>62</v>
      </c>
      <c r="G17" s="1">
        <v>199</v>
      </c>
    </row>
    <row r="18" spans="1:7" x14ac:dyDescent="0.3">
      <c r="A18" s="1">
        <v>2503015</v>
      </c>
      <c r="B18" s="1" t="s">
        <v>60</v>
      </c>
      <c r="C18" s="1" t="s">
        <v>40</v>
      </c>
      <c r="D18" s="1">
        <v>85</v>
      </c>
      <c r="E18" s="1">
        <v>87</v>
      </c>
      <c r="F18" s="1">
        <v>87</v>
      </c>
      <c r="G18" s="1">
        <v>259</v>
      </c>
    </row>
    <row r="20" spans="1:7" x14ac:dyDescent="0.3">
      <c r="A20" s="1" t="s">
        <v>34</v>
      </c>
      <c r="B20" s="1" t="s">
        <v>38</v>
      </c>
    </row>
    <row r="21" spans="1:7" x14ac:dyDescent="0.3">
      <c r="A21" s="1" t="s">
        <v>40</v>
      </c>
      <c r="B21" s="3" t="s">
        <v>119</v>
      </c>
    </row>
    <row r="25" spans="1:7" x14ac:dyDescent="0.3">
      <c r="A25" s="1" t="s">
        <v>32</v>
      </c>
      <c r="B25" s="1" t="s">
        <v>33</v>
      </c>
      <c r="C25" s="1" t="s">
        <v>35</v>
      </c>
      <c r="D25" s="1" t="s">
        <v>36</v>
      </c>
      <c r="E25" s="1" t="s">
        <v>37</v>
      </c>
    </row>
    <row r="26" spans="1:7" x14ac:dyDescent="0.3">
      <c r="A26" s="1">
        <v>2503001</v>
      </c>
      <c r="B26" s="1" t="s">
        <v>39</v>
      </c>
      <c r="C26" s="1">
        <v>84</v>
      </c>
      <c r="D26" s="1">
        <v>88</v>
      </c>
      <c r="E26" s="1">
        <v>90</v>
      </c>
    </row>
    <row r="27" spans="1:7" x14ac:dyDescent="0.3">
      <c r="A27" s="1">
        <v>2503007</v>
      </c>
      <c r="B27" s="1" t="s">
        <v>49</v>
      </c>
      <c r="C27" s="1">
        <v>91</v>
      </c>
      <c r="D27" s="1">
        <v>90</v>
      </c>
      <c r="E27" s="1">
        <v>84</v>
      </c>
    </row>
    <row r="28" spans="1:7" x14ac:dyDescent="0.3">
      <c r="A28" s="1">
        <v>2503011</v>
      </c>
      <c r="B28" s="1" t="s">
        <v>56</v>
      </c>
      <c r="C28" s="1">
        <v>96</v>
      </c>
      <c r="D28" s="1">
        <v>94</v>
      </c>
      <c r="E28" s="1">
        <v>95</v>
      </c>
    </row>
    <row r="29" spans="1:7" x14ac:dyDescent="0.3">
      <c r="A29" s="1">
        <v>2503015</v>
      </c>
      <c r="B29" s="1" t="s">
        <v>60</v>
      </c>
      <c r="C29" s="1">
        <v>85</v>
      </c>
      <c r="D29" s="1">
        <v>87</v>
      </c>
      <c r="E29" s="1">
        <v>87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filterMode="1"/>
  <dimension ref="A1:F15"/>
  <sheetViews>
    <sheetView zoomScale="145" zoomScaleNormal="145" workbookViewId="0">
      <selection activeCell="A16" sqref="A16"/>
    </sheetView>
  </sheetViews>
  <sheetFormatPr defaultRowHeight="16.5" x14ac:dyDescent="0.3"/>
  <cols>
    <col min="6" max="6" width="10.625" bestFit="1" customWidth="1"/>
  </cols>
  <sheetData>
    <row r="1" spans="1:6" ht="20.25" x14ac:dyDescent="0.3">
      <c r="A1" s="4" t="s">
        <v>0</v>
      </c>
      <c r="B1" s="4"/>
      <c r="C1" s="4"/>
      <c r="D1" s="4"/>
      <c r="E1" s="4"/>
      <c r="F1" s="4"/>
    </row>
    <row r="3" spans="1:6" x14ac:dyDescent="0.3">
      <c r="A3" s="1" t="s">
        <v>61</v>
      </c>
      <c r="B3" s="1" t="s">
        <v>34</v>
      </c>
      <c r="C3" s="1" t="s">
        <v>63</v>
      </c>
      <c r="D3" s="1" t="s">
        <v>64</v>
      </c>
      <c r="E3" s="1" t="s">
        <v>65</v>
      </c>
      <c r="F3" s="1" t="s">
        <v>66</v>
      </c>
    </row>
    <row r="4" spans="1:6" hidden="1" x14ac:dyDescent="0.3">
      <c r="A4" s="1" t="s">
        <v>67</v>
      </c>
      <c r="B4" s="1" t="s">
        <v>42</v>
      </c>
      <c r="C4" s="1" t="s">
        <v>69</v>
      </c>
      <c r="D4" s="1" t="s">
        <v>70</v>
      </c>
      <c r="E4" s="1">
        <v>2018</v>
      </c>
      <c r="F4" s="2">
        <v>3300000</v>
      </c>
    </row>
    <row r="5" spans="1:6" hidden="1" x14ac:dyDescent="0.3">
      <c r="A5" s="1" t="s">
        <v>71</v>
      </c>
      <c r="B5" s="1" t="s">
        <v>40</v>
      </c>
      <c r="C5" s="1" t="s">
        <v>73</v>
      </c>
      <c r="D5" s="1" t="s">
        <v>70</v>
      </c>
      <c r="E5" s="1">
        <v>2020</v>
      </c>
      <c r="F5" s="2">
        <v>3000000</v>
      </c>
    </row>
    <row r="6" spans="1:6" x14ac:dyDescent="0.3">
      <c r="A6" s="1" t="s">
        <v>75</v>
      </c>
      <c r="B6" s="1" t="s">
        <v>40</v>
      </c>
      <c r="C6" s="1" t="s">
        <v>76</v>
      </c>
      <c r="D6" s="1" t="s">
        <v>77</v>
      </c>
      <c r="E6" s="1">
        <v>2022</v>
      </c>
      <c r="F6" s="2">
        <v>2400000</v>
      </c>
    </row>
    <row r="7" spans="1:6" hidden="1" x14ac:dyDescent="0.3">
      <c r="A7" s="1" t="s">
        <v>78</v>
      </c>
      <c r="B7" s="1" t="s">
        <v>40</v>
      </c>
      <c r="C7" s="1" t="s">
        <v>69</v>
      </c>
      <c r="D7" s="1" t="s">
        <v>77</v>
      </c>
      <c r="E7" s="1">
        <v>2024</v>
      </c>
      <c r="F7" s="2">
        <v>2450000</v>
      </c>
    </row>
    <row r="8" spans="1:6" hidden="1" x14ac:dyDescent="0.3">
      <c r="A8" s="1" t="s">
        <v>80</v>
      </c>
      <c r="B8" s="1" t="s">
        <v>42</v>
      </c>
      <c r="C8" s="1" t="s">
        <v>81</v>
      </c>
      <c r="D8" s="1" t="s">
        <v>82</v>
      </c>
      <c r="E8" s="1">
        <v>2013</v>
      </c>
      <c r="F8" s="2">
        <v>4950000</v>
      </c>
    </row>
    <row r="9" spans="1:6" x14ac:dyDescent="0.3">
      <c r="A9" s="1" t="s">
        <v>83</v>
      </c>
      <c r="B9" s="1" t="s">
        <v>40</v>
      </c>
      <c r="C9" s="1" t="s">
        <v>73</v>
      </c>
      <c r="D9" s="1" t="s">
        <v>77</v>
      </c>
      <c r="E9" s="1">
        <v>2023</v>
      </c>
      <c r="F9" s="2">
        <v>2500000</v>
      </c>
    </row>
    <row r="10" spans="1:6" hidden="1" x14ac:dyDescent="0.3">
      <c r="A10" s="1" t="s">
        <v>85</v>
      </c>
      <c r="B10" s="1" t="s">
        <v>42</v>
      </c>
      <c r="C10" s="1" t="s">
        <v>81</v>
      </c>
      <c r="D10" s="1" t="s">
        <v>70</v>
      </c>
      <c r="E10" s="1">
        <v>2020</v>
      </c>
      <c r="F10" s="2">
        <v>3200000</v>
      </c>
    </row>
    <row r="11" spans="1:6" hidden="1" x14ac:dyDescent="0.3">
      <c r="A11" s="1" t="s">
        <v>87</v>
      </c>
      <c r="B11" s="1" t="s">
        <v>40</v>
      </c>
      <c r="C11" s="1" t="s">
        <v>69</v>
      </c>
      <c r="D11" s="1" t="s">
        <v>82</v>
      </c>
      <c r="E11" s="1">
        <v>2012</v>
      </c>
      <c r="F11" s="2">
        <v>4800000</v>
      </c>
    </row>
    <row r="12" spans="1:6" hidden="1" x14ac:dyDescent="0.3">
      <c r="A12" s="1" t="s">
        <v>89</v>
      </c>
      <c r="B12" s="1" t="s">
        <v>42</v>
      </c>
      <c r="C12" s="1" t="s">
        <v>76</v>
      </c>
      <c r="D12" s="1" t="s">
        <v>91</v>
      </c>
      <c r="E12" s="1">
        <v>2017</v>
      </c>
      <c r="F12" s="2">
        <v>4200000</v>
      </c>
    </row>
    <row r="13" spans="1:6" hidden="1" x14ac:dyDescent="0.3">
      <c r="A13" s="1" t="s">
        <v>92</v>
      </c>
      <c r="B13" s="1" t="s">
        <v>40</v>
      </c>
      <c r="C13" s="1" t="s">
        <v>81</v>
      </c>
      <c r="D13" s="1" t="s">
        <v>77</v>
      </c>
      <c r="E13" s="1">
        <v>2023</v>
      </c>
      <c r="F13" s="2">
        <v>2500000</v>
      </c>
    </row>
    <row r="14" spans="1:6" x14ac:dyDescent="0.3">
      <c r="A14" s="1" t="s">
        <v>140</v>
      </c>
      <c r="B14" s="1" t="s">
        <v>42</v>
      </c>
      <c r="C14" s="1" t="s">
        <v>73</v>
      </c>
      <c r="D14" s="1" t="s">
        <v>91</v>
      </c>
      <c r="E14" s="1">
        <v>2016</v>
      </c>
      <c r="F14" s="2">
        <v>3950000</v>
      </c>
    </row>
    <row r="15" spans="1:6" x14ac:dyDescent="0.3">
      <c r="A15" s="1" t="s">
        <v>141</v>
      </c>
      <c r="B15" s="1" t="s">
        <v>40</v>
      </c>
      <c r="C15" s="1" t="s">
        <v>76</v>
      </c>
      <c r="D15" s="1" t="s">
        <v>70</v>
      </c>
      <c r="E15" s="1">
        <v>2019</v>
      </c>
      <c r="F15" s="2">
        <v>3150000</v>
      </c>
    </row>
  </sheetData>
  <autoFilter ref="A3:F15" xr:uid="{00000000-0001-0000-0400-000000000000}">
    <filterColumn colId="0">
      <customFilters>
        <customFilter val="*수*"/>
      </customFilters>
    </filterColumn>
  </autoFilter>
  <mergeCells count="1">
    <mergeCell ref="A1:F1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28"/>
  <sheetViews>
    <sheetView topLeftCell="A2" workbookViewId="0">
      <selection activeCell="A2" sqref="A2"/>
    </sheetView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ht="20.25" x14ac:dyDescent="0.3">
      <c r="A1" s="4" t="s">
        <v>0</v>
      </c>
      <c r="B1" s="4"/>
      <c r="C1" s="4"/>
      <c r="D1" s="4"/>
      <c r="E1" s="4"/>
      <c r="F1" s="4"/>
    </row>
    <row r="3" spans="1:6" x14ac:dyDescent="0.3">
      <c r="A3" s="1" t="s">
        <v>61</v>
      </c>
      <c r="B3" s="1" t="s">
        <v>62</v>
      </c>
      <c r="C3" s="1" t="s">
        <v>63</v>
      </c>
      <c r="D3" s="1" t="s">
        <v>64</v>
      </c>
      <c r="E3" s="1" t="s">
        <v>65</v>
      </c>
      <c r="F3" s="1" t="s">
        <v>66</v>
      </c>
    </row>
    <row r="4" spans="1:6" x14ac:dyDescent="0.3">
      <c r="A4" s="1" t="s">
        <v>67</v>
      </c>
      <c r="B4" s="1" t="s">
        <v>68</v>
      </c>
      <c r="C4" s="1" t="s">
        <v>69</v>
      </c>
      <c r="D4" s="1" t="s">
        <v>70</v>
      </c>
      <c r="E4" s="1">
        <v>2018</v>
      </c>
      <c r="F4" s="2">
        <v>3300000</v>
      </c>
    </row>
    <row r="5" spans="1:6" x14ac:dyDescent="0.3">
      <c r="A5" s="1" t="s">
        <v>71</v>
      </c>
      <c r="B5" s="1" t="s">
        <v>72</v>
      </c>
      <c r="C5" s="1" t="s">
        <v>73</v>
      </c>
      <c r="D5" s="1" t="s">
        <v>74</v>
      </c>
      <c r="E5" s="1">
        <v>2020</v>
      </c>
      <c r="F5" s="2">
        <v>3000000</v>
      </c>
    </row>
    <row r="6" spans="1:6" x14ac:dyDescent="0.3">
      <c r="A6" s="1" t="s">
        <v>75</v>
      </c>
      <c r="B6" s="1" t="s">
        <v>72</v>
      </c>
      <c r="C6" s="1" t="s">
        <v>76</v>
      </c>
      <c r="D6" s="1" t="s">
        <v>77</v>
      </c>
      <c r="E6" s="1">
        <v>2022</v>
      </c>
      <c r="F6" s="2">
        <v>2400000</v>
      </c>
    </row>
    <row r="7" spans="1:6" x14ac:dyDescent="0.3">
      <c r="A7" s="1" t="s">
        <v>78</v>
      </c>
      <c r="B7" s="1" t="s">
        <v>45</v>
      </c>
      <c r="C7" s="1" t="s">
        <v>79</v>
      </c>
      <c r="D7" s="1" t="s">
        <v>77</v>
      </c>
      <c r="E7" s="1">
        <v>2024</v>
      </c>
      <c r="F7" s="2">
        <v>2450000</v>
      </c>
    </row>
    <row r="8" spans="1:6" x14ac:dyDescent="0.3">
      <c r="A8" s="1" t="s">
        <v>80</v>
      </c>
      <c r="B8" s="1" t="s">
        <v>68</v>
      </c>
      <c r="C8" s="1" t="s">
        <v>81</v>
      </c>
      <c r="D8" s="1" t="s">
        <v>82</v>
      </c>
      <c r="E8" s="1">
        <v>2013</v>
      </c>
      <c r="F8" s="2">
        <v>4950000</v>
      </c>
    </row>
    <row r="9" spans="1:6" x14ac:dyDescent="0.3">
      <c r="A9" s="1" t="s">
        <v>83</v>
      </c>
      <c r="B9" s="1" t="s">
        <v>45</v>
      </c>
      <c r="C9" s="1" t="s">
        <v>84</v>
      </c>
      <c r="D9" s="1" t="s">
        <v>77</v>
      </c>
      <c r="E9" s="1">
        <v>2023</v>
      </c>
      <c r="F9" s="2">
        <v>2500000</v>
      </c>
    </row>
    <row r="10" spans="1:6" x14ac:dyDescent="0.3">
      <c r="A10" s="1" t="s">
        <v>85</v>
      </c>
      <c r="B10" s="1" t="s">
        <v>53</v>
      </c>
      <c r="C10" s="1" t="s">
        <v>86</v>
      </c>
      <c r="D10" s="1" t="s">
        <v>70</v>
      </c>
      <c r="E10" s="1">
        <v>2020</v>
      </c>
      <c r="F10" s="2">
        <v>3200000</v>
      </c>
    </row>
    <row r="11" spans="1:6" x14ac:dyDescent="0.3">
      <c r="A11" s="1" t="s">
        <v>87</v>
      </c>
      <c r="B11" s="1" t="s">
        <v>45</v>
      </c>
      <c r="C11" s="1" t="s">
        <v>88</v>
      </c>
      <c r="D11" s="1" t="s">
        <v>82</v>
      </c>
      <c r="E11" s="1">
        <v>2012</v>
      </c>
      <c r="F11" s="2">
        <v>4800000</v>
      </c>
    </row>
    <row r="12" spans="1:6" x14ac:dyDescent="0.3">
      <c r="A12" s="1" t="s">
        <v>89</v>
      </c>
      <c r="B12" s="1" t="s">
        <v>53</v>
      </c>
      <c r="C12" s="1" t="s">
        <v>90</v>
      </c>
      <c r="D12" s="1" t="s">
        <v>91</v>
      </c>
      <c r="E12" s="1">
        <v>2017</v>
      </c>
      <c r="F12" s="2">
        <v>4200000</v>
      </c>
    </row>
    <row r="13" spans="1:6" x14ac:dyDescent="0.3">
      <c r="A13" s="1" t="s">
        <v>92</v>
      </c>
      <c r="B13" s="1" t="s">
        <v>72</v>
      </c>
      <c r="C13" s="1" t="s">
        <v>81</v>
      </c>
      <c r="D13" s="1" t="s">
        <v>77</v>
      </c>
      <c r="E13" s="1">
        <v>2023</v>
      </c>
      <c r="F13" s="2">
        <v>2500000</v>
      </c>
    </row>
    <row r="14" spans="1:6" x14ac:dyDescent="0.3">
      <c r="A14" s="1" t="s">
        <v>93</v>
      </c>
      <c r="B14" s="1" t="s">
        <v>53</v>
      </c>
      <c r="C14" s="1" t="s">
        <v>84</v>
      </c>
      <c r="D14" s="1" t="s">
        <v>91</v>
      </c>
      <c r="E14" s="1">
        <v>2016</v>
      </c>
      <c r="F14" s="2">
        <v>3950000</v>
      </c>
    </row>
    <row r="15" spans="1:6" x14ac:dyDescent="0.3">
      <c r="A15" s="1" t="s">
        <v>94</v>
      </c>
      <c r="B15" s="1" t="s">
        <v>45</v>
      </c>
      <c r="C15" s="1" t="s">
        <v>90</v>
      </c>
      <c r="D15" s="1" t="s">
        <v>74</v>
      </c>
      <c r="E15" s="1">
        <v>2019</v>
      </c>
      <c r="F15" s="2">
        <v>3150000</v>
      </c>
    </row>
    <row r="18" spans="1:6" x14ac:dyDescent="0.3">
      <c r="A18" s="1" t="s">
        <v>63</v>
      </c>
      <c r="B18" s="1" t="s">
        <v>66</v>
      </c>
    </row>
    <row r="19" spans="1:6" x14ac:dyDescent="0.3">
      <c r="A19" s="1" t="s">
        <v>81</v>
      </c>
    </row>
    <row r="20" spans="1:6" x14ac:dyDescent="0.3">
      <c r="B20" t="s">
        <v>120</v>
      </c>
    </row>
    <row r="23" spans="1:6" x14ac:dyDescent="0.3">
      <c r="A23" s="1" t="s">
        <v>61</v>
      </c>
      <c r="B23" s="1" t="s">
        <v>34</v>
      </c>
      <c r="C23" s="1" t="s">
        <v>63</v>
      </c>
      <c r="D23" s="1" t="s">
        <v>64</v>
      </c>
      <c r="E23" s="1" t="s">
        <v>65</v>
      </c>
      <c r="F23" s="1" t="s">
        <v>66</v>
      </c>
    </row>
    <row r="24" spans="1:6" x14ac:dyDescent="0.3">
      <c r="A24" s="1" t="s">
        <v>80</v>
      </c>
      <c r="B24" s="1" t="s">
        <v>42</v>
      </c>
      <c r="C24" s="1" t="s">
        <v>81</v>
      </c>
      <c r="D24" s="1" t="s">
        <v>82</v>
      </c>
      <c r="E24" s="1">
        <v>2013</v>
      </c>
      <c r="F24" s="2">
        <v>4950000</v>
      </c>
    </row>
    <row r="25" spans="1:6" x14ac:dyDescent="0.3">
      <c r="A25" s="1" t="s">
        <v>85</v>
      </c>
      <c r="B25" s="1" t="s">
        <v>42</v>
      </c>
      <c r="C25" s="1" t="s">
        <v>81</v>
      </c>
      <c r="D25" s="1" t="s">
        <v>70</v>
      </c>
      <c r="E25" s="1">
        <v>2020</v>
      </c>
      <c r="F25" s="2">
        <v>3200000</v>
      </c>
    </row>
    <row r="26" spans="1:6" x14ac:dyDescent="0.3">
      <c r="A26" s="1" t="s">
        <v>87</v>
      </c>
      <c r="B26" s="1" t="s">
        <v>40</v>
      </c>
      <c r="C26" s="1" t="s">
        <v>69</v>
      </c>
      <c r="D26" s="1" t="s">
        <v>82</v>
      </c>
      <c r="E26" s="1">
        <v>2012</v>
      </c>
      <c r="F26" s="2">
        <v>4800000</v>
      </c>
    </row>
    <row r="27" spans="1:6" x14ac:dyDescent="0.3">
      <c r="A27" s="1" t="s">
        <v>89</v>
      </c>
      <c r="B27" s="1" t="s">
        <v>42</v>
      </c>
      <c r="C27" s="1" t="s">
        <v>76</v>
      </c>
      <c r="D27" s="1" t="s">
        <v>91</v>
      </c>
      <c r="E27" s="1">
        <v>2017</v>
      </c>
      <c r="F27" s="2">
        <v>4200000</v>
      </c>
    </row>
    <row r="28" spans="1:6" x14ac:dyDescent="0.3">
      <c r="A28" s="1" t="s">
        <v>92</v>
      </c>
      <c r="B28" s="1" t="s">
        <v>40</v>
      </c>
      <c r="C28" s="1" t="s">
        <v>81</v>
      </c>
      <c r="D28" s="1" t="s">
        <v>77</v>
      </c>
      <c r="E28" s="1">
        <v>2023</v>
      </c>
      <c r="F28" s="2">
        <v>2500000</v>
      </c>
    </row>
  </sheetData>
  <mergeCells count="1">
    <mergeCell ref="A1:F1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filterMode="1"/>
  <dimension ref="A1:G18"/>
  <sheetViews>
    <sheetView tabSelected="1" workbookViewId="0">
      <selection activeCell="Q13" sqref="Q13"/>
    </sheetView>
  </sheetViews>
  <sheetFormatPr defaultRowHeight="16.5" x14ac:dyDescent="0.3"/>
  <sheetData>
    <row r="1" spans="1:7" ht="20.25" x14ac:dyDescent="0.3">
      <c r="A1" s="4" t="s">
        <v>95</v>
      </c>
      <c r="B1" s="4"/>
      <c r="C1" s="4"/>
      <c r="D1" s="4"/>
      <c r="E1" s="4"/>
      <c r="F1" s="4"/>
      <c r="G1" s="4"/>
    </row>
    <row r="3" spans="1:7" x14ac:dyDescent="0.3">
      <c r="A3" s="1" t="s">
        <v>32</v>
      </c>
      <c r="B3" s="1" t="s">
        <v>33</v>
      </c>
      <c r="C3" s="1" t="s">
        <v>34</v>
      </c>
      <c r="D3" s="1" t="s">
        <v>35</v>
      </c>
      <c r="E3" s="1" t="s">
        <v>36</v>
      </c>
      <c r="F3" s="1" t="s">
        <v>37</v>
      </c>
      <c r="G3" s="1" t="s">
        <v>38</v>
      </c>
    </row>
    <row r="4" spans="1:7" hidden="1" x14ac:dyDescent="0.3">
      <c r="A4" s="1">
        <v>2503001</v>
      </c>
      <c r="B4" s="1" t="s">
        <v>39</v>
      </c>
      <c r="C4" s="1" t="s">
        <v>40</v>
      </c>
      <c r="D4" s="1">
        <v>84</v>
      </c>
      <c r="E4" s="1">
        <v>88</v>
      </c>
      <c r="F4" s="1">
        <v>90</v>
      </c>
      <c r="G4" s="1">
        <v>262</v>
      </c>
    </row>
    <row r="5" spans="1:7" x14ac:dyDescent="0.3">
      <c r="A5" s="1">
        <v>2503002</v>
      </c>
      <c r="B5" s="1" t="s">
        <v>41</v>
      </c>
      <c r="C5" s="1" t="s">
        <v>42</v>
      </c>
      <c r="D5" s="1">
        <v>96</v>
      </c>
      <c r="E5" s="1">
        <v>97</v>
      </c>
      <c r="F5" s="1">
        <v>95</v>
      </c>
      <c r="G5" s="1">
        <v>288</v>
      </c>
    </row>
    <row r="6" spans="1:7" hidden="1" x14ac:dyDescent="0.3">
      <c r="A6" s="1">
        <v>2503003</v>
      </c>
      <c r="B6" s="1" t="s">
        <v>43</v>
      </c>
      <c r="C6" s="1" t="s">
        <v>42</v>
      </c>
      <c r="D6" s="1">
        <v>75</v>
      </c>
      <c r="E6" s="1">
        <v>77</v>
      </c>
      <c r="F6" s="1">
        <v>80</v>
      </c>
      <c r="G6" s="1">
        <v>232</v>
      </c>
    </row>
    <row r="7" spans="1:7" hidden="1" x14ac:dyDescent="0.3">
      <c r="A7" s="1">
        <v>2503004</v>
      </c>
      <c r="B7" s="1" t="s">
        <v>44</v>
      </c>
      <c r="C7" s="1" t="s">
        <v>40</v>
      </c>
      <c r="D7" s="1">
        <v>59</v>
      </c>
      <c r="E7" s="1">
        <v>52</v>
      </c>
      <c r="F7" s="1">
        <v>62</v>
      </c>
      <c r="G7" s="1">
        <v>173</v>
      </c>
    </row>
    <row r="8" spans="1:7" hidden="1" x14ac:dyDescent="0.3">
      <c r="A8" s="1">
        <v>2503005</v>
      </c>
      <c r="B8" s="1" t="s">
        <v>46</v>
      </c>
      <c r="C8" s="1" t="s">
        <v>40</v>
      </c>
      <c r="D8" s="1">
        <v>62</v>
      </c>
      <c r="E8" s="1">
        <v>69</v>
      </c>
      <c r="F8" s="1">
        <v>80</v>
      </c>
      <c r="G8" s="1">
        <v>211</v>
      </c>
    </row>
    <row r="9" spans="1:7" x14ac:dyDescent="0.3">
      <c r="A9" s="1">
        <v>2503006</v>
      </c>
      <c r="B9" s="1" t="s">
        <v>47</v>
      </c>
      <c r="C9" s="1" t="s">
        <v>42</v>
      </c>
      <c r="D9" s="1">
        <v>81</v>
      </c>
      <c r="E9" s="1">
        <v>84</v>
      </c>
      <c r="F9" s="1">
        <v>90</v>
      </c>
      <c r="G9" s="1">
        <v>255</v>
      </c>
    </row>
    <row r="10" spans="1:7" hidden="1" x14ac:dyDescent="0.3">
      <c r="A10" s="1">
        <v>2503007</v>
      </c>
      <c r="B10" s="1" t="s">
        <v>49</v>
      </c>
      <c r="C10" s="1" t="s">
        <v>40</v>
      </c>
      <c r="D10" s="1">
        <v>91</v>
      </c>
      <c r="E10" s="1">
        <v>90</v>
      </c>
      <c r="F10" s="1">
        <v>84</v>
      </c>
      <c r="G10" s="1">
        <v>265</v>
      </c>
    </row>
    <row r="11" spans="1:7" x14ac:dyDescent="0.3">
      <c r="A11" s="1">
        <v>2503008</v>
      </c>
      <c r="B11" s="1" t="s">
        <v>51</v>
      </c>
      <c r="C11" s="1" t="s">
        <v>42</v>
      </c>
      <c r="D11" s="1">
        <v>97</v>
      </c>
      <c r="E11" s="1">
        <v>95</v>
      </c>
      <c r="F11" s="1">
        <v>92</v>
      </c>
      <c r="G11" s="1">
        <v>284</v>
      </c>
    </row>
    <row r="12" spans="1:7" x14ac:dyDescent="0.3">
      <c r="A12" s="1">
        <v>2503009</v>
      </c>
      <c r="B12" s="1" t="s">
        <v>52</v>
      </c>
      <c r="C12" s="1" t="s">
        <v>42</v>
      </c>
      <c r="D12" s="1">
        <v>83</v>
      </c>
      <c r="E12" s="1">
        <v>86</v>
      </c>
      <c r="F12" s="1">
        <v>90</v>
      </c>
      <c r="G12" s="1">
        <v>259</v>
      </c>
    </row>
    <row r="13" spans="1:7" x14ac:dyDescent="0.3">
      <c r="A13" s="1">
        <v>2503010</v>
      </c>
      <c r="B13" s="1" t="s">
        <v>54</v>
      </c>
      <c r="C13" s="1" t="s">
        <v>42</v>
      </c>
      <c r="D13" s="1">
        <v>85</v>
      </c>
      <c r="E13" s="1">
        <v>88</v>
      </c>
      <c r="F13" s="1">
        <v>82</v>
      </c>
      <c r="G13" s="1">
        <v>255</v>
      </c>
    </row>
    <row r="14" spans="1:7" hidden="1" x14ac:dyDescent="0.3">
      <c r="A14" s="1">
        <v>2503011</v>
      </c>
      <c r="B14" s="1" t="s">
        <v>56</v>
      </c>
      <c r="C14" s="1" t="s">
        <v>40</v>
      </c>
      <c r="D14" s="1">
        <v>96</v>
      </c>
      <c r="E14" s="1">
        <v>94</v>
      </c>
      <c r="F14" s="1">
        <v>95</v>
      </c>
      <c r="G14" s="1">
        <v>285</v>
      </c>
    </row>
    <row r="15" spans="1:7" hidden="1" x14ac:dyDescent="0.3">
      <c r="A15" s="1">
        <v>2503012</v>
      </c>
      <c r="B15" s="1" t="s">
        <v>57</v>
      </c>
      <c r="C15" s="1" t="s">
        <v>42</v>
      </c>
      <c r="D15" s="1">
        <v>77</v>
      </c>
      <c r="E15" s="1">
        <v>76</v>
      </c>
      <c r="F15" s="1">
        <v>78</v>
      </c>
      <c r="G15" s="1">
        <v>231</v>
      </c>
    </row>
    <row r="16" spans="1:7" hidden="1" x14ac:dyDescent="0.3">
      <c r="A16" s="1">
        <v>2503013</v>
      </c>
      <c r="B16" s="1" t="s">
        <v>58</v>
      </c>
      <c r="C16" s="1" t="s">
        <v>42</v>
      </c>
      <c r="D16" s="1">
        <v>57</v>
      </c>
      <c r="E16" s="1">
        <v>52</v>
      </c>
      <c r="F16" s="1">
        <v>60</v>
      </c>
      <c r="G16" s="1">
        <v>169</v>
      </c>
    </row>
    <row r="17" spans="1:7" hidden="1" x14ac:dyDescent="0.3">
      <c r="A17" s="1">
        <v>2503014</v>
      </c>
      <c r="B17" s="1" t="s">
        <v>59</v>
      </c>
      <c r="C17" s="1" t="s">
        <v>40</v>
      </c>
      <c r="D17" s="1">
        <v>68</v>
      </c>
      <c r="E17" s="1">
        <v>69</v>
      </c>
      <c r="F17" s="1">
        <v>62</v>
      </c>
      <c r="G17" s="1">
        <v>199</v>
      </c>
    </row>
    <row r="18" spans="1:7" hidden="1" x14ac:dyDescent="0.3">
      <c r="A18" s="1">
        <v>2503015</v>
      </c>
      <c r="B18" s="1" t="s">
        <v>60</v>
      </c>
      <c r="C18" s="1" t="s">
        <v>40</v>
      </c>
      <c r="D18" s="1">
        <v>85</v>
      </c>
      <c r="E18" s="1">
        <v>87</v>
      </c>
      <c r="F18" s="1">
        <v>87</v>
      </c>
      <c r="G18" s="1">
        <v>259</v>
      </c>
    </row>
  </sheetData>
  <autoFilter ref="A3:G18" xr:uid="{00000000-0001-0000-0600-000000000000}">
    <filterColumn colId="2">
      <filters>
        <filter val="여"/>
      </filters>
    </filterColumn>
    <filterColumn colId="6">
      <customFilters>
        <customFilter operator="greaterThanOrEqual" val="250"/>
      </customFilters>
    </filterColumn>
  </autoFilter>
  <mergeCells count="1">
    <mergeCell ref="A1:G1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filterMode="1"/>
  <dimension ref="A1:G18"/>
  <sheetViews>
    <sheetView workbookViewId="0">
      <selection activeCell="L27" sqref="L27"/>
    </sheetView>
  </sheetViews>
  <sheetFormatPr defaultRowHeight="16.5" x14ac:dyDescent="0.3"/>
  <sheetData>
    <row r="1" spans="1:7" ht="20.25" x14ac:dyDescent="0.3">
      <c r="A1" s="4" t="s">
        <v>95</v>
      </c>
      <c r="B1" s="4"/>
      <c r="C1" s="4"/>
      <c r="D1" s="4"/>
      <c r="E1" s="4"/>
      <c r="F1" s="4"/>
      <c r="G1" s="4"/>
    </row>
    <row r="3" spans="1:7" x14ac:dyDescent="0.3">
      <c r="A3" s="1" t="s">
        <v>96</v>
      </c>
      <c r="B3" s="1" t="s">
        <v>97</v>
      </c>
      <c r="C3" s="1" t="s">
        <v>98</v>
      </c>
      <c r="D3" s="1" t="s">
        <v>99</v>
      </c>
      <c r="E3" s="1" t="s">
        <v>100</v>
      </c>
      <c r="F3" s="1" t="s">
        <v>37</v>
      </c>
      <c r="G3" s="1" t="s">
        <v>101</v>
      </c>
    </row>
    <row r="4" spans="1:7" hidden="1" x14ac:dyDescent="0.3">
      <c r="A4" s="1">
        <v>2503001</v>
      </c>
      <c r="B4" s="1" t="s">
        <v>102</v>
      </c>
      <c r="C4" s="1" t="s">
        <v>103</v>
      </c>
      <c r="D4" s="1">
        <v>84</v>
      </c>
      <c r="E4" s="1">
        <v>88</v>
      </c>
      <c r="F4" s="1">
        <v>90</v>
      </c>
      <c r="G4" s="1">
        <v>262</v>
      </c>
    </row>
    <row r="5" spans="1:7" x14ac:dyDescent="0.3">
      <c r="A5" s="1">
        <v>2503002</v>
      </c>
      <c r="B5" s="1" t="s">
        <v>104</v>
      </c>
      <c r="C5" s="1" t="s">
        <v>105</v>
      </c>
      <c r="D5" s="1">
        <v>96</v>
      </c>
      <c r="E5" s="1">
        <v>97</v>
      </c>
      <c r="F5" s="1">
        <v>95</v>
      </c>
      <c r="G5" s="1">
        <v>288</v>
      </c>
    </row>
    <row r="6" spans="1:7" hidden="1" x14ac:dyDescent="0.3">
      <c r="A6" s="1">
        <v>2503003</v>
      </c>
      <c r="B6" s="1" t="s">
        <v>106</v>
      </c>
      <c r="C6" s="1" t="s">
        <v>55</v>
      </c>
      <c r="D6" s="1">
        <v>75</v>
      </c>
      <c r="E6" s="1">
        <v>77</v>
      </c>
      <c r="F6" s="1">
        <v>80</v>
      </c>
      <c r="G6" s="1">
        <v>232</v>
      </c>
    </row>
    <row r="7" spans="1:7" hidden="1" x14ac:dyDescent="0.3">
      <c r="A7" s="1">
        <v>2503004</v>
      </c>
      <c r="B7" s="1" t="s">
        <v>107</v>
      </c>
      <c r="C7" s="1" t="s">
        <v>45</v>
      </c>
      <c r="D7" s="1">
        <v>59</v>
      </c>
      <c r="E7" s="1">
        <v>52</v>
      </c>
      <c r="F7" s="1">
        <v>62</v>
      </c>
      <c r="G7" s="1">
        <v>173</v>
      </c>
    </row>
    <row r="8" spans="1:7" hidden="1" x14ac:dyDescent="0.3">
      <c r="A8" s="1">
        <v>2503005</v>
      </c>
      <c r="B8" s="1" t="s">
        <v>108</v>
      </c>
      <c r="C8" s="1" t="s">
        <v>109</v>
      </c>
      <c r="D8" s="1">
        <v>62</v>
      </c>
      <c r="E8" s="1">
        <v>69</v>
      </c>
      <c r="F8" s="1">
        <v>80</v>
      </c>
      <c r="G8" s="1">
        <v>211</v>
      </c>
    </row>
    <row r="9" spans="1:7" x14ac:dyDescent="0.3">
      <c r="A9" s="1">
        <v>2503006</v>
      </c>
      <c r="B9" s="1" t="s">
        <v>110</v>
      </c>
      <c r="C9" s="1" t="s">
        <v>53</v>
      </c>
      <c r="D9" s="1">
        <v>81</v>
      </c>
      <c r="E9" s="1">
        <v>84</v>
      </c>
      <c r="F9" s="1">
        <v>90</v>
      </c>
      <c r="G9" s="1">
        <v>255</v>
      </c>
    </row>
    <row r="10" spans="1:7" hidden="1" x14ac:dyDescent="0.3">
      <c r="A10" s="1">
        <v>2503007</v>
      </c>
      <c r="B10" s="1" t="s">
        <v>111</v>
      </c>
      <c r="C10" s="1" t="s">
        <v>103</v>
      </c>
      <c r="D10" s="1">
        <v>91</v>
      </c>
      <c r="E10" s="1">
        <v>90</v>
      </c>
      <c r="F10" s="1">
        <v>84</v>
      </c>
      <c r="G10" s="1">
        <v>265</v>
      </c>
    </row>
    <row r="11" spans="1:7" x14ac:dyDescent="0.3">
      <c r="A11" s="1">
        <v>2503008</v>
      </c>
      <c r="B11" s="1" t="s">
        <v>112</v>
      </c>
      <c r="C11" s="1" t="s">
        <v>53</v>
      </c>
      <c r="D11" s="1">
        <v>97</v>
      </c>
      <c r="E11" s="1">
        <v>95</v>
      </c>
      <c r="F11" s="1">
        <v>92</v>
      </c>
      <c r="G11" s="1">
        <v>284</v>
      </c>
    </row>
    <row r="12" spans="1:7" x14ac:dyDescent="0.3">
      <c r="A12" s="1">
        <v>2503009</v>
      </c>
      <c r="B12" s="1" t="s">
        <v>113</v>
      </c>
      <c r="C12" s="1" t="s">
        <v>48</v>
      </c>
      <c r="D12" s="1">
        <v>83</v>
      </c>
      <c r="E12" s="1">
        <v>86</v>
      </c>
      <c r="F12" s="1">
        <v>90</v>
      </c>
      <c r="G12" s="1">
        <v>259</v>
      </c>
    </row>
    <row r="13" spans="1:7" x14ac:dyDescent="0.3">
      <c r="A13" s="1">
        <v>2503010</v>
      </c>
      <c r="B13" s="1" t="s">
        <v>114</v>
      </c>
      <c r="C13" s="1" t="s">
        <v>55</v>
      </c>
      <c r="D13" s="1">
        <v>85</v>
      </c>
      <c r="E13" s="1">
        <v>88</v>
      </c>
      <c r="F13" s="1">
        <v>82</v>
      </c>
      <c r="G13" s="1">
        <v>255</v>
      </c>
    </row>
    <row r="14" spans="1:7" hidden="1" x14ac:dyDescent="0.3">
      <c r="A14" s="1">
        <v>2503011</v>
      </c>
      <c r="B14" s="1" t="s">
        <v>56</v>
      </c>
      <c r="C14" s="1" t="s">
        <v>103</v>
      </c>
      <c r="D14" s="1">
        <v>96</v>
      </c>
      <c r="E14" s="1">
        <v>94</v>
      </c>
      <c r="F14" s="1">
        <v>95</v>
      </c>
      <c r="G14" s="1">
        <v>285</v>
      </c>
    </row>
    <row r="15" spans="1:7" hidden="1" x14ac:dyDescent="0.3">
      <c r="A15" s="1">
        <v>2503012</v>
      </c>
      <c r="B15" s="1" t="s">
        <v>115</v>
      </c>
      <c r="C15" s="1" t="s">
        <v>55</v>
      </c>
      <c r="D15" s="1">
        <v>77</v>
      </c>
      <c r="E15" s="1">
        <v>76</v>
      </c>
      <c r="F15" s="1">
        <v>78</v>
      </c>
      <c r="G15" s="1">
        <v>231</v>
      </c>
    </row>
    <row r="16" spans="1:7" hidden="1" x14ac:dyDescent="0.3">
      <c r="A16" s="1">
        <v>2503013</v>
      </c>
      <c r="B16" s="1" t="s">
        <v>58</v>
      </c>
      <c r="C16" s="1" t="s">
        <v>55</v>
      </c>
      <c r="D16" s="1">
        <v>57</v>
      </c>
      <c r="E16" s="1">
        <v>52</v>
      </c>
      <c r="F16" s="1">
        <v>60</v>
      </c>
      <c r="G16" s="1">
        <v>169</v>
      </c>
    </row>
    <row r="17" spans="1:7" hidden="1" x14ac:dyDescent="0.3">
      <c r="A17" s="1">
        <v>2503014</v>
      </c>
      <c r="B17" s="1" t="s">
        <v>116</v>
      </c>
      <c r="C17" s="1" t="s">
        <v>103</v>
      </c>
      <c r="D17" s="1">
        <v>68</v>
      </c>
      <c r="E17" s="1">
        <v>69</v>
      </c>
      <c r="F17" s="1">
        <v>62</v>
      </c>
      <c r="G17" s="1">
        <v>199</v>
      </c>
    </row>
    <row r="18" spans="1:7" hidden="1" x14ac:dyDescent="0.3">
      <c r="A18" s="1">
        <v>2503015</v>
      </c>
      <c r="B18" s="1" t="s">
        <v>117</v>
      </c>
      <c r="C18" s="1" t="s">
        <v>45</v>
      </c>
      <c r="D18" s="1">
        <v>85</v>
      </c>
      <c r="E18" s="1">
        <v>87</v>
      </c>
      <c r="F18" s="1">
        <v>87</v>
      </c>
      <c r="G18" s="1">
        <v>259</v>
      </c>
    </row>
  </sheetData>
  <autoFilter ref="A3:G18" xr:uid="{00000000-0009-0000-0000-000007000000}">
    <filterColumn colId="2">
      <filters>
        <filter val="여"/>
      </filters>
    </filterColumn>
    <filterColumn colId="6">
      <customFilters>
        <customFilter operator="greaterThanOrEqual" val="250"/>
      </customFilters>
    </filterColumn>
  </autoFilter>
  <mergeCells count="1">
    <mergeCell ref="A1:G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10</vt:i4>
      </vt:variant>
    </vt:vector>
  </HeadingPairs>
  <TitlesOfParts>
    <vt:vector size="18" baseType="lpstr">
      <vt:lpstr>고급필터1</vt:lpstr>
      <vt:lpstr>고급필터1(결과)</vt:lpstr>
      <vt:lpstr>고급필터2</vt:lpstr>
      <vt:lpstr>고급필터2(결과)</vt:lpstr>
      <vt:lpstr>고급필터3</vt:lpstr>
      <vt:lpstr>고급필터3(결과)</vt:lpstr>
      <vt:lpstr>자동필터</vt:lpstr>
      <vt:lpstr>자동필터(결과)</vt:lpstr>
      <vt:lpstr>고급필터1!Criteria</vt:lpstr>
      <vt:lpstr>'고급필터1(결과)'!Criteria</vt:lpstr>
      <vt:lpstr>고급필터2!Criteria</vt:lpstr>
      <vt:lpstr>'고급필터2(결과)'!Criteria</vt:lpstr>
      <vt:lpstr>'고급필터3(결과)'!Criteria</vt:lpstr>
      <vt:lpstr>고급필터1!Extract</vt:lpstr>
      <vt:lpstr>'고급필터1(결과)'!Extract</vt:lpstr>
      <vt:lpstr>고급필터2!Extract</vt:lpstr>
      <vt:lpstr>'고급필터2(결과)'!Extract</vt:lpstr>
      <vt:lpstr>'고급필터3(결과)'!Extract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2020-04-05T04:19:08Z</dcterms:created>
  <dcterms:modified xsi:type="dcterms:W3CDTF">2026-09-03T11:02:54Z</dcterms:modified>
</cp:coreProperties>
</file>