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DB5E32F7-9276-4A29-A0B1-D7BBAF31D0F2}" xr6:coauthVersionLast="47" xr6:coauthVersionMax="47" xr10:uidLastSave="{00000000-0000-0000-0000-000000000000}"/>
  <bookViews>
    <workbookView xWindow="22932" yWindow="-108" windowWidth="23256" windowHeight="12576" tabRatio="890" firstSheet="13" activeTab="21" xr2:uid="{00000000-000D-0000-FFFF-FFFF00000000}"/>
  </bookViews>
  <sheets>
    <sheet name="수식" sheetId="28" r:id="rId1"/>
    <sheet name="계산" sheetId="14" r:id="rId2"/>
    <sheet name="계산(결과)" sheetId="1" r:id="rId3"/>
    <sheet name="데이터베이스" sheetId="15" r:id="rId4"/>
    <sheet name="데이터베이스(결과)" sheetId="2" r:id="rId5"/>
    <sheet name="수학삼각1" sheetId="16" r:id="rId6"/>
    <sheet name="수학삼각1(결과)" sheetId="3" r:id="rId7"/>
    <sheet name="수학삼각2" sheetId="17" r:id="rId8"/>
    <sheet name="수학삼각2(결과)" sheetId="4" r:id="rId9"/>
    <sheet name="통계1" sheetId="18" r:id="rId10"/>
    <sheet name="통계1(결과)" sheetId="5" r:id="rId11"/>
    <sheet name="통계2" sheetId="19" r:id="rId12"/>
    <sheet name="통계2(결과)" sheetId="6" r:id="rId13"/>
    <sheet name="찾기참조1" sheetId="20" r:id="rId14"/>
    <sheet name="찾기참조1(결과)" sheetId="7" r:id="rId15"/>
    <sheet name="찾기참조2" sheetId="8" r:id="rId16"/>
    <sheet name="찾기참조2(결과)" sheetId="21" r:id="rId17"/>
    <sheet name="날짜1" sheetId="9" r:id="rId18"/>
    <sheet name="날짜1(결과)" sheetId="22" r:id="rId19"/>
    <sheet name="날짜2" sheetId="23" r:id="rId20"/>
    <sheet name="날짜2(결과)" sheetId="10" r:id="rId21"/>
    <sheet name="텍스트" sheetId="11" r:id="rId22"/>
    <sheet name="텍스트(결과)" sheetId="24" r:id="rId23"/>
    <sheet name="논리1" sheetId="12" r:id="rId24"/>
    <sheet name="논리1(결과)" sheetId="25" r:id="rId25"/>
    <sheet name="논리2" sheetId="13" r:id="rId26"/>
    <sheet name="논리2(결과)" sheetId="27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1" i="11" l="1"/>
  <c r="B50" i="11"/>
  <c r="B49" i="11"/>
  <c r="B48" i="11"/>
  <c r="B45" i="11"/>
  <c r="B44" i="11"/>
  <c r="B43" i="11"/>
  <c r="B40" i="11"/>
  <c r="B39" i="11"/>
  <c r="B38" i="11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D3" i="14"/>
  <c r="B2" i="28"/>
  <c r="G5" i="28"/>
  <c r="H5" i="28"/>
  <c r="B6" i="28"/>
  <c r="C6" i="28"/>
  <c r="D6" i="28"/>
  <c r="E6" i="28"/>
  <c r="B10" i="28"/>
  <c r="C10" i="28"/>
  <c r="E10" i="28"/>
  <c r="B13" i="28"/>
  <c r="B14" i="28"/>
  <c r="B15" i="28"/>
  <c r="B16" i="28"/>
  <c r="B17" i="28"/>
  <c r="B18" i="28"/>
  <c r="G20" i="28"/>
  <c r="H20" i="28"/>
  <c r="G21" i="28"/>
  <c r="H21" i="28"/>
  <c r="G22" i="28"/>
  <c r="H22" i="28"/>
  <c r="G23" i="28"/>
  <c r="H23" i="28"/>
  <c r="G24" i="28"/>
  <c r="H24" i="28"/>
  <c r="G25" i="28"/>
  <c r="H25" i="28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G40" i="28"/>
  <c r="H40" i="28"/>
  <c r="I40" i="28"/>
  <c r="G41" i="28"/>
  <c r="H41" i="28"/>
  <c r="I41" i="28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<sst xmlns="http://schemas.openxmlformats.org/spreadsheetml/2006/main" count="3011" uniqueCount="1216">
  <si>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</si>
  <si>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</si>
  <si>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</si>
  <si>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</si>
  <si>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</si>
  <si>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</si>
  <si>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</si>
  <si>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</si>
  <si>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</si>
  <si>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</si>
  <si>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</si>
  <si>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</si>
  <si>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</si>
  <si>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</si>
  <si>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</si>
  <si>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</si>
  <si>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</si>
  <si>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</si>
  <si>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</si>
  <si>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</si>
  <si>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</si>
  <si>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</si>
  <si>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</si>
  <si>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</si>
  <si>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</si>
  <si>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</si>
  <si>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</si>
  <si>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</si>
  <si>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</si>
  <si>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</si>
  <si>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</si>
  <si>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</si>
  <si>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</si>
  <si>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</si>
  <si>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</si>
  <si>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</si>
  <si>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</si>
  <si>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</si>
  <si>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</si>
  <si>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</si>
  <si>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</si>
  <si>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</si>
  <si>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</si>
  <si>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</si>
  <si>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</si>
  <si>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</si>
  <si>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</si>
  <si>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</si>
  <si>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</si>
  <si>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</si>
  <si>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</si>
  <si>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</si>
  <si>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</si>
  <si>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</si>
  <si>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</si>
  <si>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</si>
  <si>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</si>
  <si>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</si>
  <si>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</si>
  <si>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</si>
  <si>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</si>
  <si>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</si>
  <si>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</si>
  <si>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</si>
  <si>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</si>
  <si>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</si>
  <si>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</si>
  <si>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</si>
  <si>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</si>
  <si>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</si>
  <si>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</si>
  <si>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</si>
  <si>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</si>
  <si>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</si>
  <si>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</si>
  <si>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</si>
  <si>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</si>
  <si>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</si>
  <si>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</si>
  <si>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</si>
  <si>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</si>
  <si>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</si>
  <si>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</si>
  <si>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</si>
  <si>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</si>
  <si>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</si>
  <si>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</si>
  <si>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</si>
  <si>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</si>
  <si>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</si>
  <si>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</si>
  <si>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</si>
  <si>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</si>
  <si>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</si>
  <si>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</si>
  <si>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</si>
  <si>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</si>
  <si>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</si>
  <si>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</si>
  <si>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</si>
  <si>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</si>
  <si>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</si>
  <si>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</si>
  <si>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</si>
  <si>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</si>
  <si>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</si>
  <si>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</si>
  <si>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</si>
  <si>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</si>
  <si>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</si>
  <si>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</si>
  <si>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</si>
  <si>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</si>
  <si>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</si>
  <si>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</si>
  <si>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</si>
  <si>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</si>
  <si>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</si>
  <si>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</si>
  <si>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</si>
  <si>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</si>
  <si>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</si>
  <si>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</si>
  <si>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</si>
  <si>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</si>
  <si>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</si>
  <si>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</si>
  <si>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</si>
  <si>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</si>
  <si>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</si>
  <si>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</si>
  <si>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</si>
  <si>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</si>
  <si>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</si>
  <si>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</si>
  <si>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</si>
  <si>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</si>
  <si>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</si>
  <si>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</si>
  <si>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</si>
  <si>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</si>
  <si>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</si>
  <si>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</si>
  <si>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</si>
  <si>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</si>
  <si>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</si>
  <si>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</si>
  <si>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</si>
  <si>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</si>
  <si>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</si>
  <si>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</si>
  <si>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</si>
  <si>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</si>
  <si>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</si>
  <si>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</si>
  <si>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</si>
  <si>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</si>
  <si>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</si>
  <si>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</si>
  <si>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</si>
  <si>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</si>
  <si>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</si>
  <si>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</si>
  <si>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</si>
  <si>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</si>
  <si>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</si>
  <si>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</si>
  <si>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</si>
  <si>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</si>
  <si>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</si>
  <si>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</si>
  <si>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</si>
  <si>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</si>
  <si>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</si>
  <si>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</si>
  <si>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</si>
  <si>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</si>
  <si>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</si>
  <si>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</si>
  <si>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</si>
  <si>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</si>
  <si>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</si>
  <si>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</si>
  <si>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</si>
  <si>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</si>
  <si>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</si>
  <si>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</si>
  <si>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</si>
  <si>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</si>
  <si>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</si>
  <si>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</si>
  <si>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</si>
  <si>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</si>
  <si>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</si>
  <si>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</si>
  <si>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</si>
  <si>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</si>
  <si>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</si>
  <si>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</si>
  <si>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</si>
  <si>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</si>
  <si>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</si>
  <si>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</si>
  <si>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</si>
  <si>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</si>
  <si>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</si>
  <si>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</si>
  <si>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</si>
  <si>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</si>
  <si>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</si>
  <si>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</si>
  <si>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</si>
  <si>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</si>
  <si>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</si>
  <si>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</si>
  <si>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</si>
  <si>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</si>
  <si>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</si>
  <si>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</si>
  <si>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</si>
  <si>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</si>
  <si>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</si>
  <si>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</si>
  <si>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</si>
  <si>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</si>
  <si>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</si>
  <si>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</si>
  <si>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</si>
  <si>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</si>
  <si>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</si>
  <si>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</si>
  <si>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</si>
  <si>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</si>
  <si>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</si>
  <si>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</si>
  <si>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</si>
  <si>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</si>
  <si>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</si>
  <si>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</si>
  <si>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</si>
  <si>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</si>
  <si>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</si>
  <si>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</si>
  <si>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</si>
  <si>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</si>
  <si>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</si>
  <si>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</si>
  <si>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</si>
  <si>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</si>
  <si>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</si>
  <si>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</si>
  <si>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</si>
  <si>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</si>
  <si>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</si>
  <si>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</si>
  <si>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</si>
  <si>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</si>
  <si>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</si>
  <si>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</si>
  <si>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</si>
  <si>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</si>
  <si>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</si>
  <si>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</si>
  <si>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</si>
  <si>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</si>
  <si>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</si>
  <si>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</si>
  <si>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</si>
  <si>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</si>
  <si>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</si>
  <si>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</si>
  <si>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</si>
  <si>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</si>
  <si>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</si>
  <si>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</si>
  <si>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</si>
  <si>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</si>
  <si>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</si>
  <si>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</si>
  <si>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</si>
  <si>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</si>
  <si>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</si>
  <si>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</si>
  <si>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</si>
  <si>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</si>
  <si>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</si>
  <si>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</si>
  <si>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</si>
  <si>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</si>
  <si>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</si>
  <si>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</si>
  <si>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</si>
  <si>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</si>
  <si>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</si>
  <si>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</si>
  <si>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</si>
  <si>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</si>
  <si>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</si>
  <si>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</si>
  <si>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</si>
  <si>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</si>
  <si>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</si>
  <si>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</si>
  <si>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</si>
  <si>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</si>
  <si>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</si>
  <si>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</si>
  <si>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</si>
  <si>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</si>
  <si>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</si>
  <si>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</si>
  <si>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</si>
  <si>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</si>
  <si>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</si>
  <si>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</si>
  <si>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</si>
  <si>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</si>
  <si>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</si>
  <si>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</si>
  <si>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</si>
  <si>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</si>
  <si>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</si>
  <si>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</si>
  <si>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</si>
  <si>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</si>
  <si>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</si>
  <si>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</si>
  <si>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</si>
  <si>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</si>
  <si>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</si>
  <si>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</si>
  <si>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</si>
  <si>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</si>
  <si>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</si>
  <si>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</si>
  <si>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</si>
  <si>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</si>
  <si>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</si>
  <si>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</si>
  <si>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</si>
  <si>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</si>
  <si>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</si>
  <si>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</si>
  <si>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</si>
  <si>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</si>
  <si>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</si>
  <si>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</si>
  <si>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</si>
  <si>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</si>
  <si>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</si>
  <si>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</si>
  <si>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</si>
  <si>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</si>
  <si>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</si>
  <si>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</si>
  <si>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</si>
  <si>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</si>
  <si>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</si>
  <si>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</si>
  <si>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</si>
  <si>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</si>
  <si>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</si>
  <si>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</si>
  <si>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</si>
  <si>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</si>
  <si>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</si>
  <si>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</si>
  <si>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</si>
  <si>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</si>
  <si>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</si>
  <si>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</si>
  <si>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</si>
  <si>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</si>
  <si>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</si>
  <si>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</si>
  <si>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</si>
  <si>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</si>
  <si>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</si>
  <si>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</si>
  <si>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</si>
  <si>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</si>
  <si>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</si>
  <si>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</si>
  <si>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</si>
  <si>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</si>
  <si>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</si>
  <si>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</si>
  <si>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</si>
  <si>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</si>
  <si>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</si>
  <si>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</si>
  <si>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</si>
  <si>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</si>
  <si>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</si>
  <si>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</si>
  <si>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</si>
  <si>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</si>
  <si>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</si>
  <si>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</si>
  <si>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</si>
  <si>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</si>
  <si>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</si>
  <si>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</si>
  <si>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</si>
  <si>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</si>
  <si>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</si>
  <si>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</si>
  <si>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</si>
  <si>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</si>
  <si>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</si>
  <si>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</si>
  <si>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</si>
  <si>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</si>
  <si>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</si>
  <si>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</si>
  <si>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</si>
  <si>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</si>
  <si>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</si>
  <si>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</si>
  <si>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</si>
  <si>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</si>
  <si>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</si>
  <si>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</si>
  <si>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</si>
  <si>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</si>
  <si>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</si>
  <si>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</si>
  <si>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</si>
  <si>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</si>
  <si>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</si>
  <si>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</si>
  <si>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</si>
  <si>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</si>
  <si>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</si>
  <si>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</si>
  <si>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</si>
  <si>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</si>
  <si>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</si>
  <si>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</si>
  <si>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</si>
  <si>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</si>
  <si>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</si>
  <si>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</si>
  <si>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</si>
  <si>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</si>
  <si>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</si>
  <si>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</si>
  <si>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</si>
  <si>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</si>
  <si>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</si>
  <si>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</si>
  <si>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</si>
  <si>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</si>
  <si>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</si>
  <si>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</si>
  <si>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</si>
  <si>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</si>
  <si>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</si>
  <si>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</si>
  <si>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</si>
  <si>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</si>
  <si>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</si>
  <si>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</si>
  <si>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</si>
  <si>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</si>
  <si>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</si>
  <si>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</si>
  <si>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</si>
  <si>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</si>
  <si>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</si>
  <si>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</si>
  <si>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</si>
  <si>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</si>
  <si>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</si>
  <si>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</si>
  <si>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</si>
  <si>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</si>
  <si>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</si>
  <si>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</si>
  <si>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</si>
  <si>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</si>
  <si>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</si>
  <si>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</si>
  <si>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</si>
  <si>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</si>
  <si>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</si>
  <si>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</si>
  <si>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</si>
  <si>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</si>
  <si>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</si>
  <si>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</si>
  <si>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</si>
  <si>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</si>
  <si>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</si>
  <si>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</si>
  <si>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</si>
  <si>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</si>
  <si>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</si>
  <si>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</si>
  <si>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</si>
  <si>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</si>
  <si>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</si>
  <si>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</si>
  <si>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</si>
  <si>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</si>
  <si>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</si>
  <si>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</si>
  <si>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</si>
  <si>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</si>
  <si>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</si>
  <si>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</si>
  <si>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</si>
  <si>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</si>
  <si>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</si>
  <si>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</si>
  <si>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</si>
  <si>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</si>
  <si>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</si>
  <si>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</si>
  <si>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</si>
  <si>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</si>
  <si>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</si>
  <si>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</si>
  <si>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</si>
  <si>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</si>
  <si>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</si>
  <si>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</si>
  <si>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</si>
  <si>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</si>
  <si>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</si>
  <si>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</si>
  <si>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</si>
  <si>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</si>
  <si>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</si>
  <si>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</si>
  <si>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</si>
  <si>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</si>
  <si>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</si>
  <si>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</si>
  <si>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</si>
  <si>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</si>
  <si>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</si>
  <si>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</si>
  <si>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</si>
  <si>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</si>
  <si>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</si>
  <si>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</si>
  <si>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</si>
  <si>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</si>
  <si>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</si>
  <si>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</si>
  <si>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</si>
  <si>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</si>
  <si>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</si>
  <si>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</si>
  <si>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</si>
  <si>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</si>
  <si>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</si>
  <si>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</si>
  <si>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</si>
  <si>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</si>
  <si>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</si>
  <si>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</si>
  <si>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</si>
  <si>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</si>
  <si>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</si>
  <si>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</si>
  <si>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</si>
  <si>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</si>
  <si>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</si>
  <si>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</si>
  <si>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</si>
  <si>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</si>
  <si>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</si>
  <si>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</si>
  <si>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</si>
  <si>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</si>
  <si>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</si>
  <si>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</si>
  <si>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</si>
  <si>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</si>
  <si>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</si>
  <si>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</si>
  <si>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</si>
  <si>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</si>
  <si>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</si>
  <si>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</si>
  <si>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</si>
  <si>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</si>
  <si>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</si>
  <si>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</si>
  <si>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</si>
  <si>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</si>
  <si>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</si>
  <si>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</si>
  <si>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</si>
  <si>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</si>
  <si>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</si>
  <si>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</si>
  <si>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</si>
  <si>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</si>
  <si>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</si>
  <si>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</si>
  <si>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</si>
  <si>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</si>
  <si>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</si>
  <si>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</si>
  <si>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</si>
  <si>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</si>
  <si>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</si>
  <si>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</si>
  <si>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</si>
  <si>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</si>
  <si>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</si>
  <si>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</si>
  <si>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</si>
  <si>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</si>
  <si>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</si>
  <si>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</si>
  <si>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</si>
  <si>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</si>
  <si>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</si>
  <si>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</si>
  <si>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</si>
  <si>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</si>
  <si>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</si>
  <si>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</si>
  <si>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</si>
  <si>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</si>
  <si>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</si>
  <si>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</si>
  <si>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</si>
  <si>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</si>
  <si>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</si>
  <si>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</si>
  <si>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</si>
  <si>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</si>
  <si>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</si>
  <si>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</si>
  <si>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</si>
  <si>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</si>
  <si>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</si>
  <si>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</si>
  <si>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</si>
  <si>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</si>
  <si>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</si>
  <si>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</si>
  <si>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</si>
  <si>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</si>
  <si>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</si>
  <si>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</si>
  <si>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</si>
  <si>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</si>
  <si>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</si>
  <si>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</si>
  <si>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</si>
  <si>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</si>
  <si>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</si>
  <si>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</si>
  <si>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</si>
  <si>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</si>
  <si>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</si>
  <si>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</si>
  <si>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</si>
  <si>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</si>
  <si>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</si>
  <si>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</si>
  <si>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</si>
  <si>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</si>
  <si>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</si>
  <si>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</si>
  <si>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</si>
  <si>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</si>
  <si>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</si>
  <si>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</si>
  <si>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</si>
  <si>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</si>
  <si>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</si>
  <si>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</si>
  <si>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</si>
  <si>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</si>
  <si>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</si>
  <si>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</si>
  <si>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</si>
  <si>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</si>
  <si>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</si>
  <si>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</si>
  <si>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</si>
  <si>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</si>
  <si>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</si>
  <si>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</si>
  <si>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</si>
  <si>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</si>
  <si>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</si>
  <si>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</si>
  <si>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</si>
  <si>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</si>
  <si>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</si>
  <si>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</si>
  <si>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</si>
  <si>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</si>
  <si>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</si>
  <si>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</si>
  <si>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</si>
  <si>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</si>
  <si>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</si>
  <si>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</si>
  <si>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</si>
  <si>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</si>
  <si>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</si>
  <si>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</si>
  <si>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</si>
  <si>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</si>
  <si>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</si>
  <si>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</si>
  <si>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</si>
  <si>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</si>
  <si>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</si>
  <si>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</si>
  <si>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</si>
  <si>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</si>
  <si>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</si>
  <si>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</si>
  <si>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</si>
  <si>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</si>
  <si>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</si>
  <si>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</si>
  <si>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</si>
  <si>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</si>
  <si>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</si>
  <si>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</si>
  <si>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</si>
  <si>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</si>
  <si>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</si>
  <si>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</si>
  <si>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</si>
  <si>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</si>
  <si>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</si>
  <si>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</si>
  <si>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</si>
  <si>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</si>
  <si>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</si>
  <si>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</si>
  <si>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</si>
  <si>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</si>
  <si>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</si>
  <si>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</si>
  <si>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</si>
  <si>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</si>
  <si>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</si>
  <si>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</si>
  <si>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</si>
  <si>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</si>
  <si>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</si>
  <si>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</si>
  <si>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</si>
  <si>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</si>
  <si>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</si>
  <si>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</si>
  <si>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</si>
  <si>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</si>
  <si>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</si>
  <si>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</si>
  <si>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</si>
  <si>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</si>
  <si>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</si>
  <si>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</si>
  <si>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</si>
  <si>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</si>
  <si>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</si>
  <si>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</si>
  <si>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</si>
  <si>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</si>
  <si>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</si>
  <si>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</si>
  <si>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</si>
  <si>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</si>
  <si>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</si>
  <si>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</si>
  <si>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</si>
  <si>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</si>
  <si>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</si>
  <si>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</si>
  <si>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</si>
  <si>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</si>
  <si>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</si>
  <si>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</si>
  <si>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</si>
  <si>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</si>
  <si>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</si>
  <si>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</si>
  <si>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</si>
  <si>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</si>
  <si>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</si>
  <si>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</si>
  <si>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</si>
  <si>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</si>
  <si>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</si>
  <si>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</si>
  <si>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</si>
  <si>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</si>
  <si>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</si>
  <si>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</si>
  <si>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</si>
  <si>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</si>
  <si>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</si>
  <si>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</si>
  <si>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</si>
  <si>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</si>
  <si>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</si>
  <si>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</si>
  <si>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</si>
  <si>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</si>
  <si>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</si>
  <si>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</si>
  <si>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</si>
  <si>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</si>
  <si>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</si>
  <si>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</si>
  <si>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</si>
  <si>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</si>
  <si>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</si>
  <si>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</si>
  <si>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</si>
  <si>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</si>
  <si>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</si>
  <si>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</si>
  <si>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</si>
  <si>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</si>
  <si>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</si>
  <si>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</si>
  <si>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</si>
  <si>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</si>
  <si>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</si>
  <si>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</si>
  <si>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</si>
  <si>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</si>
  <si>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</si>
  <si>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</si>
  <si>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</si>
  <si>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</si>
  <si>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</si>
  <si>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</si>
  <si>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</si>
  <si>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</si>
  <si>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</si>
  <si>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</si>
  <si>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</si>
  <si>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</si>
  <si>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</si>
  <si>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</si>
  <si>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</si>
  <si>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</si>
  <si>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</si>
  <si>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</si>
  <si>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</si>
  <si>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</si>
  <si>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</si>
  <si>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</si>
  <si>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</si>
  <si>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</si>
  <si>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</si>
  <si>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</si>
  <si>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</si>
  <si>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</si>
  <si>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</si>
  <si>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</si>
  <si>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</si>
  <si>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</si>
  <si>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</si>
  <si>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</si>
  <si>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</si>
  <si>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</si>
  <si>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</si>
  <si>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</si>
  <si>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</si>
  <si>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</si>
  <si>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</si>
  <si>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</si>
  <si>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</si>
  <si>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</si>
  <si>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</si>
  <si>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</si>
  <si>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</si>
  <si>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</si>
  <si>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</si>
  <si>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</si>
  <si>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</si>
  <si>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</si>
  <si>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</si>
  <si>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</si>
  <si>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</si>
  <si>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</si>
  <si>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</si>
  <si>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</si>
  <si>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</si>
  <si>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</si>
  <si>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</si>
  <si>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</si>
  <si>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</si>
  <si>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</si>
  <si>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</si>
  <si>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</si>
  <si>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</si>
  <si>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</si>
  <si>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</si>
  <si>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</si>
  <si>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</si>
  <si>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</si>
  <si>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</si>
  <si>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</si>
  <si>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</si>
  <si>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</si>
  <si>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</si>
  <si>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</si>
  <si>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</si>
  <si>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</si>
  <si>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</si>
  <si>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</si>
  <si>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</si>
  <si>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</si>
  <si>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</si>
  <si>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</si>
  <si>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</si>
  <si>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</si>
  <si>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</si>
  <si>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</si>
  <si>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</si>
  <si>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</si>
  <si>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</si>
  <si>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</si>
  <si>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</si>
  <si>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</si>
  <si>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</si>
  <si>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</si>
  <si>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</si>
  <si>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</si>
  <si>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</si>
  <si>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</si>
  <si>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</si>
  <si>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</si>
  <si>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</si>
  <si>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</si>
  <si>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</si>
  <si>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</si>
  <si>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</si>
  <si>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</si>
  <si>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</si>
  <si>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</si>
  <si>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</si>
  <si>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</si>
  <si>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</si>
  <si>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</si>
  <si>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</si>
  <si>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</si>
  <si>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</si>
  <si>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</si>
  <si>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</si>
  <si>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</si>
  <si>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</si>
  <si>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</si>
  <si>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</si>
  <si>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</si>
  <si>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</si>
  <si>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</si>
  <si>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</si>
  <si>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</si>
  <si>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</si>
  <si>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</si>
  <si>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</si>
  <si>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</si>
  <si>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</si>
  <si>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</si>
  <si>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</si>
  <si>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</si>
  <si>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</si>
  <si>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</si>
  <si>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</si>
  <si>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</si>
  <si>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</si>
  <si>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</si>
  <si>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</si>
  <si>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</si>
  <si>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</si>
  <si>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</si>
  <si>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</si>
  <si>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</si>
  <si>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</si>
  <si>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</si>
  <si>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</si>
  <si>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</si>
  <si>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</si>
  <si>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</si>
  <si>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</si>
  <si>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</si>
  <si>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</si>
  <si>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</si>
  <si>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</si>
  <si>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</si>
  <si>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</si>
  <si>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</si>
  <si>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</si>
  <si>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</si>
  <si>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</si>
  <si>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</si>
  <si>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</si>
  <si>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</si>
  <si>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</si>
  <si>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</si>
  <si>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</si>
  <si>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</si>
  <si>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</si>
  <si>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</si>
  <si>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</si>
  <si>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</si>
  <si>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</si>
  <si>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</si>
  <si>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</si>
  <si>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</si>
  <si>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</si>
  <si>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</si>
  <si>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</si>
  <si>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</si>
  <si>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</si>
  <si>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</si>
  <si>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</si>
  <si>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</si>
  <si>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</si>
  <si>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</si>
  <si>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</si>
  <si>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</si>
  <si>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</si>
  <si>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</si>
  <si>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</si>
  <si>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</si>
  <si>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</si>
  <si>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</si>
  <si>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</si>
  <si>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</si>
  <si>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</si>
  <si>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</si>
  <si>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</si>
  <si>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</si>
  <si>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</si>
  <si>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</si>
  <si>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</si>
  <si>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</si>
  <si>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</si>
  <si>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</si>
  <si>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</si>
  <si>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</si>
  <si>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</si>
  <si>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</si>
  <si>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</si>
  <si>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</si>
  <si>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</si>
  <si>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</si>
  <si>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</si>
  <si>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</si>
  <si>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</si>
  <si>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</si>
  <si>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</si>
  <si>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</si>
  <si>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</si>
  <si>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</si>
  <si>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</si>
  <si>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</si>
  <si>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</si>
  <si>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</si>
  <si>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</si>
  <si>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</si>
  <si>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</si>
  <si>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</si>
  <si>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</si>
  <si>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</si>
  <si>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</si>
  <si>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</si>
  <si>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</si>
  <si>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</si>
  <si>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</si>
  <si>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</si>
  <si>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</si>
  <si>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</si>
  <si>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</si>
  <si>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</si>
  <si>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</si>
  <si>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</si>
  <si>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</si>
  <si>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</si>
  <si>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</si>
  <si>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</si>
  <si>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</si>
  <si>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</si>
  <si>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</si>
  <si>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</si>
  <si>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</si>
  <si>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</si>
  <si>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</si>
  <si>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</si>
  <si>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</si>
  <si>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</si>
  <si>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</si>
  <si>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</si>
  <si>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</si>
  <si>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</si>
  <si>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</si>
  <si>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</si>
  <si>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</si>
  <si>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</si>
  <si>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</si>
  <si>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</si>
  <si>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</si>
  <si>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</si>
  <si>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</si>
  <si>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</si>
  <si>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</si>
  <si>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</si>
  <si>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</si>
  <si>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</si>
  <si>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</si>
  <si>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</si>
  <si>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</si>
  <si>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</si>
  <si>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</si>
  <si>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</si>
  <si>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</si>
  <si>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</si>
  <si>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</si>
  <si>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</si>
  <si>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</si>
  <si>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</si>
  <si>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</si>
  <si>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</si>
  <si>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</si>
  <si>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</si>
  <si>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</si>
  <si>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</si>
  <si>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</si>
  <si>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</si>
  <si>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</si>
  <si>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</si>
  <si>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</si>
  <si>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</si>
  <si>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</si>
  <si>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</si>
  <si>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</si>
  <si>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</si>
  <si>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</si>
  <si>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</si>
  <si>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</si>
  <si>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</si>
  <si>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</si>
  <si>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</si>
  <si>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</si>
  <si>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</si>
  <si>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</si>
  <si>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</si>
  <si>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</si>
  <si>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</si>
  <si>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</si>
  <si>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</si>
  <si>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비율:</t>
    <phoneticPr fontId="2" type="noConversion"/>
  </si>
  <si>
    <t>B$36</t>
  </si>
  <si>
    <t>혼합참조 : 열과 행이 상대참조와 절대참조를 혼합하여 사용</t>
    <phoneticPr fontId="2" type="noConversion"/>
  </si>
  <si>
    <t>기본점수:</t>
    <phoneticPr fontId="2" type="noConversion"/>
  </si>
  <si>
    <t>예 : $B$28</t>
    <phoneticPr fontId="2" type="noConversion"/>
  </si>
  <si>
    <t>절대참조: 수식 채우기에 대응하지않고 참조범위 고정</t>
    <phoneticPr fontId="2" type="noConversion"/>
  </si>
  <si>
    <t>예: =B20+C20</t>
    <phoneticPr fontId="2" type="noConversion"/>
  </si>
  <si>
    <t>상대참조: 수식복사 위치에 대응하여 참조범위 변경</t>
    <phoneticPr fontId="2" type="noConversion"/>
  </si>
  <si>
    <t>다르다</t>
    <phoneticPr fontId="2" type="noConversion"/>
  </si>
  <si>
    <t>&lt;&gt;</t>
    <phoneticPr fontId="2" type="noConversion"/>
  </si>
  <si>
    <t>같다</t>
    <phoneticPr fontId="2" type="noConversion"/>
  </si>
  <si>
    <t>=</t>
    <phoneticPr fontId="2" type="noConversion"/>
  </si>
  <si>
    <t>미만</t>
    <phoneticPr fontId="2" type="noConversion"/>
  </si>
  <si>
    <t>&lt;</t>
    <phoneticPr fontId="2" type="noConversion"/>
  </si>
  <si>
    <t>이하</t>
    <phoneticPr fontId="2" type="noConversion"/>
  </si>
  <si>
    <t>&lt;=</t>
    <phoneticPr fontId="2" type="noConversion"/>
  </si>
  <si>
    <t>이상</t>
    <phoneticPr fontId="2" type="noConversion"/>
  </si>
  <si>
    <t>&gt;=</t>
  </si>
  <si>
    <t>초과</t>
    <phoneticPr fontId="2" type="noConversion"/>
  </si>
  <si>
    <t>&gt;</t>
    <phoneticPr fontId="2" type="noConversion"/>
  </si>
  <si>
    <t>할머니상어</t>
    <phoneticPr fontId="2" type="noConversion"/>
  </si>
  <si>
    <t>엄마상어</t>
    <phoneticPr fontId="2" type="noConversion"/>
  </si>
  <si>
    <t>참조-숫자,문자   결과-Bool(TRUE, FALSE)</t>
    <phoneticPr fontId="2" type="noConversion"/>
  </si>
  <si>
    <t>3. 비교연산자</t>
    <phoneticPr fontId="2" type="noConversion"/>
  </si>
  <si>
    <t>2. 연결연산자</t>
    <phoneticPr fontId="2" type="noConversion"/>
  </si>
  <si>
    <t>셀 참조하여 연산가능</t>
    <phoneticPr fontId="2" type="noConversion"/>
  </si>
  <si>
    <t>=B4+D4</t>
    <phoneticPr fontId="2" type="noConversion"/>
  </si>
  <si>
    <t>에러메세지</t>
    <phoneticPr fontId="2" type="noConversion"/>
  </si>
  <si>
    <t>나누기</t>
    <phoneticPr fontId="2" type="noConversion"/>
  </si>
  <si>
    <t>곱하기</t>
    <phoneticPr fontId="2" type="noConversion"/>
  </si>
  <si>
    <t>빼기</t>
    <phoneticPr fontId="2" type="noConversion"/>
  </si>
  <si>
    <t>더하기</t>
    <phoneticPr fontId="2" type="noConversion"/>
  </si>
  <si>
    <t>아기상어</t>
    <phoneticPr fontId="2" type="noConversion"/>
  </si>
  <si>
    <t>참조-숫자, 결과 - 숫자</t>
    <phoneticPr fontId="2" type="noConversion"/>
  </si>
  <si>
    <t>1. 산술연산자</t>
    <phoneticPr fontId="2" type="noConversion"/>
  </si>
  <si>
    <t>MBC 아카데미 서면점</t>
    <phoneticPr fontId="2" type="noConversion"/>
  </si>
  <si>
    <t>왼쪽에서 글자수만큼 추출</t>
    <phoneticPr fontId="2" type="noConversion"/>
  </si>
  <si>
    <t>left(문자열,글자수)</t>
    <phoneticPr fontId="2" type="noConversion"/>
  </si>
  <si>
    <t>right(문자열,글자수)</t>
    <phoneticPr fontId="2" type="noConversion"/>
  </si>
  <si>
    <t>오른쪽에서 글자수만큼 추출</t>
    <phoneticPr fontId="2" type="noConversion"/>
  </si>
  <si>
    <t>mid(문자열,시작위치,글자수)</t>
    <phoneticPr fontId="2" type="noConversion"/>
  </si>
  <si>
    <t>왼쪽에서 시작위치에서부터 글자수만큼 추출</t>
    <phoneticPr fontId="2" type="noConversion"/>
  </si>
  <si>
    <r>
      <t xml:space="preserve">mBc It </t>
    </r>
    <r>
      <rPr>
        <sz val="11"/>
        <color theme="1"/>
        <rFont val="맑은 고딕"/>
        <family val="3"/>
        <charset val="129"/>
      </rPr>
      <t>컴퓨터</t>
    </r>
    <r>
      <rPr>
        <sz val="11"/>
        <color theme="1"/>
        <rFont val="돋움"/>
        <family val="3"/>
        <charset val="129"/>
      </rPr>
      <t xml:space="preserve"> </t>
    </r>
    <r>
      <rPr>
        <sz val="11"/>
        <color theme="1"/>
        <rFont val="Consolas"/>
        <family val="3"/>
      </rPr>
      <t>aCaDEmy</t>
    </r>
    <phoneticPr fontId="2" type="noConversion"/>
  </si>
  <si>
    <t>upper(문자열)</t>
    <phoneticPr fontId="2" type="noConversion"/>
  </si>
  <si>
    <t>대문자</t>
    <phoneticPr fontId="2" type="noConversion"/>
  </si>
  <si>
    <t>lower(문자열)</t>
    <phoneticPr fontId="2" type="noConversion"/>
  </si>
  <si>
    <t>소문자</t>
    <phoneticPr fontId="2" type="noConversion"/>
  </si>
  <si>
    <t>proper(문자열)</t>
    <phoneticPr fontId="2" type="noConversion"/>
  </si>
  <si>
    <t>단어첫글자대문자 ,나머지 소문자</t>
    <phoneticPr fontId="2" type="noConversion"/>
  </si>
  <si>
    <t xml:space="preserve">     MBC 아카데미     </t>
    <phoneticPr fontId="2" type="noConversion"/>
  </si>
  <si>
    <t>len(문자열)</t>
    <phoneticPr fontId="2" type="noConversion"/>
  </si>
  <si>
    <t>문자열의 길이</t>
    <phoneticPr fontId="2" type="noConversion"/>
  </si>
  <si>
    <t>trim(문자열)</t>
    <phoneticPr fontId="2" type="noConversion"/>
  </si>
  <si>
    <t>문자열 좌우공백 제거</t>
    <phoneticPr fontId="2" type="noConversion"/>
  </si>
  <si>
    <t>LEN(TRIM(B47))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</si>
</sst>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Consolas"/>
      <family val="3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2" fillId="0" borderId="0" xfId="0" applyFont="1" applyAlignment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2216-E208-41D8-BB54-8CB4BED716D4}">
  <dimension ref="A2:I41"/>
  <sheetViews>
    <sheetView topLeftCell="A22" zoomScale="175" zoomScaleNormal="175" workbookViewId="0">
      <selection activeCell="G35" sqref="G35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1195</v>
      </c>
      <c r="D3" t="s">
        <v>1194</v>
      </c>
    </row>
    <row r="4" spans="2:9" ht="20.25" customHeight="1" x14ac:dyDescent="0.3">
      <c r="B4">
        <v>15</v>
      </c>
      <c r="D4">
        <v>7</v>
      </c>
      <c r="G4" t="s">
        <v>1193</v>
      </c>
      <c r="I4" t="s">
        <v>1182</v>
      </c>
    </row>
    <row r="5" spans="2:9" ht="20.25" customHeight="1" x14ac:dyDescent="0.3">
      <c r="B5" t="s">
        <v>1192</v>
      </c>
      <c r="C5" t="s">
        <v>1191</v>
      </c>
      <c r="D5" t="s">
        <v>1190</v>
      </c>
      <c r="E5" t="s">
        <v>1189</v>
      </c>
      <c r="G5" t="e">
        <f>G4+I4</f>
        <v>#VALUE!</v>
      </c>
      <c r="H5" t="e">
        <f>B4+G4</f>
        <v>#VALUE!</v>
      </c>
      <c r="I5" t="s">
        <v>1188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148" t="s">
        <v>1187</v>
      </c>
    </row>
    <row r="8" spans="2:9" x14ac:dyDescent="0.3">
      <c r="B8" t="s">
        <v>1186</v>
      </c>
    </row>
    <row r="9" spans="2:9" x14ac:dyDescent="0.3">
      <c r="B9" t="s">
        <v>1185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1184</v>
      </c>
      <c r="D11" t="s">
        <v>1183</v>
      </c>
    </row>
    <row r="12" spans="2:9" x14ac:dyDescent="0.3">
      <c r="B12" t="s">
        <v>1182</v>
      </c>
      <c r="C12" t="s">
        <v>1181</v>
      </c>
    </row>
    <row r="13" spans="2:9" x14ac:dyDescent="0.3">
      <c r="B13" t="b">
        <f>B12&gt;C12</f>
        <v>0</v>
      </c>
      <c r="C13" t="s">
        <v>1180</v>
      </c>
      <c r="D13" t="s">
        <v>1179</v>
      </c>
    </row>
    <row r="14" spans="2:9" x14ac:dyDescent="0.3">
      <c r="B14" t="b">
        <f>B12&gt;=C12</f>
        <v>0</v>
      </c>
      <c r="C14" t="s">
        <v>1178</v>
      </c>
      <c r="D14" t="s">
        <v>1177</v>
      </c>
    </row>
    <row r="15" spans="2:9" x14ac:dyDescent="0.3">
      <c r="B15" t="b">
        <f>B12&lt;=C12</f>
        <v>1</v>
      </c>
      <c r="C15" t="s">
        <v>1176</v>
      </c>
      <c r="D15" t="s">
        <v>1175</v>
      </c>
    </row>
    <row r="16" spans="2:9" x14ac:dyDescent="0.3">
      <c r="B16" t="b">
        <f>B12&lt;C12</f>
        <v>1</v>
      </c>
      <c r="C16" t="s">
        <v>1174</v>
      </c>
      <c r="D16" t="s">
        <v>1173</v>
      </c>
    </row>
    <row r="17" spans="1:9" x14ac:dyDescent="0.3">
      <c r="B17" t="b">
        <f>B12=C12</f>
        <v>0</v>
      </c>
      <c r="C17" s="148" t="s">
        <v>1172</v>
      </c>
      <c r="D17" t="s">
        <v>1171</v>
      </c>
    </row>
    <row r="18" spans="1:9" x14ac:dyDescent="0.3">
      <c r="B18" t="b">
        <f>B12&lt;&gt;C12</f>
        <v>1</v>
      </c>
      <c r="C18" t="s">
        <v>1170</v>
      </c>
      <c r="D18" t="s">
        <v>1169</v>
      </c>
      <c r="G18" t="s">
        <v>1168</v>
      </c>
    </row>
    <row r="19" spans="1:9" x14ac:dyDescent="0.3">
      <c r="G19" t="s">
        <v>1167</v>
      </c>
    </row>
    <row r="20" spans="1:9" x14ac:dyDescent="0.3">
      <c r="B20">
        <v>80</v>
      </c>
      <c r="C20">
        <v>110</v>
      </c>
      <c r="D20">
        <v>1</v>
      </c>
      <c r="G20">
        <f>B20+C20</f>
        <v>190</v>
      </c>
      <c r="H20">
        <f>C20+D20</f>
        <v>111</v>
      </c>
    </row>
    <row r="21" spans="1:9" x14ac:dyDescent="0.3">
      <c r="B21">
        <v>78</v>
      </c>
      <c r="C21">
        <v>120</v>
      </c>
      <c r="D21">
        <v>3</v>
      </c>
      <c r="G21">
        <f>B21+C21</f>
        <v>198</v>
      </c>
      <c r="H21">
        <f>C21+D21</f>
        <v>123</v>
      </c>
    </row>
    <row r="22" spans="1:9" x14ac:dyDescent="0.3">
      <c r="B22">
        <v>96</v>
      </c>
      <c r="C22">
        <v>150</v>
      </c>
      <c r="D22">
        <v>5</v>
      </c>
      <c r="G22">
        <f>B22+C22</f>
        <v>246</v>
      </c>
      <c r="H22">
        <f>C22+D22</f>
        <v>155</v>
      </c>
    </row>
    <row r="23" spans="1:9" x14ac:dyDescent="0.3">
      <c r="B23">
        <v>35</v>
      </c>
      <c r="C23">
        <v>160</v>
      </c>
      <c r="D23">
        <v>6</v>
      </c>
      <c r="G23">
        <f>B23+C23</f>
        <v>195</v>
      </c>
      <c r="H23">
        <f>C23+D23</f>
        <v>166</v>
      </c>
    </row>
    <row r="24" spans="1:9" x14ac:dyDescent="0.3">
      <c r="B24">
        <v>42</v>
      </c>
      <c r="C24">
        <v>178</v>
      </c>
      <c r="D24">
        <v>7</v>
      </c>
      <c r="G24">
        <f>B24+C24</f>
        <v>220</v>
      </c>
      <c r="H24">
        <f>C24+D24</f>
        <v>185</v>
      </c>
    </row>
    <row r="25" spans="1:9" x14ac:dyDescent="0.3">
      <c r="B25">
        <v>12</v>
      </c>
      <c r="C25">
        <v>190</v>
      </c>
      <c r="D25">
        <v>4</v>
      </c>
      <c r="G25">
        <f>B25+C25</f>
        <v>202</v>
      </c>
      <c r="H25">
        <f>C25+D25</f>
        <v>194</v>
      </c>
    </row>
    <row r="26" spans="1:9" x14ac:dyDescent="0.3">
      <c r="G26" t="s">
        <v>1166</v>
      </c>
    </row>
    <row r="27" spans="1:9" x14ac:dyDescent="0.3">
      <c r="G27" t="s">
        <v>1165</v>
      </c>
    </row>
    <row r="28" spans="1:9" x14ac:dyDescent="0.3">
      <c r="A28" t="s">
        <v>1164</v>
      </c>
      <c r="B28">
        <v>20</v>
      </c>
      <c r="G28">
        <f>B20+$B$28</f>
        <v>100</v>
      </c>
      <c r="H28">
        <f>C20+$B$28</f>
        <v>130</v>
      </c>
      <c r="I28">
        <f>D20+$B$28</f>
        <v>21</v>
      </c>
    </row>
    <row r="29" spans="1:9" x14ac:dyDescent="0.3">
      <c r="G29">
        <f>B21+$B$28</f>
        <v>98</v>
      </c>
      <c r="H29">
        <f>C21+$B$28</f>
        <v>140</v>
      </c>
      <c r="I29">
        <f>D21+$B$28</f>
        <v>23</v>
      </c>
    </row>
    <row r="30" spans="1:9" x14ac:dyDescent="0.3">
      <c r="G30">
        <f>B22+$B$28</f>
        <v>116</v>
      </c>
      <c r="H30">
        <f>C22+$B$28</f>
        <v>170</v>
      </c>
      <c r="I30">
        <f>D22+$B$28</f>
        <v>25</v>
      </c>
    </row>
    <row r="31" spans="1:9" x14ac:dyDescent="0.3">
      <c r="G31">
        <f>B23+$B$28</f>
        <v>55</v>
      </c>
      <c r="H31">
        <f>C23+$B$28</f>
        <v>180</v>
      </c>
      <c r="I31">
        <f>D23+$B$28</f>
        <v>26</v>
      </c>
    </row>
    <row r="32" spans="1:9" x14ac:dyDescent="0.3">
      <c r="G32">
        <f>B24+$B$28</f>
        <v>62</v>
      </c>
      <c r="H32">
        <f>C24+$B$28</f>
        <v>198</v>
      </c>
      <c r="I32">
        <f>D24+$B$28</f>
        <v>27</v>
      </c>
    </row>
    <row r="33" spans="1:9" x14ac:dyDescent="0.3">
      <c r="G33">
        <f>B25+$B$28</f>
        <v>32</v>
      </c>
      <c r="H33">
        <f>C25+$B$28</f>
        <v>210</v>
      </c>
      <c r="I33">
        <f>D25+$B$28</f>
        <v>24</v>
      </c>
    </row>
    <row r="34" spans="1:9" x14ac:dyDescent="0.3">
      <c r="G34" t="s">
        <v>1163</v>
      </c>
    </row>
    <row r="35" spans="1:9" x14ac:dyDescent="0.3">
      <c r="G35" t="s">
        <v>1162</v>
      </c>
    </row>
    <row r="36" spans="1:9" x14ac:dyDescent="0.3">
      <c r="A36" t="s">
        <v>1161</v>
      </c>
      <c r="B36">
        <v>0.5</v>
      </c>
      <c r="C36">
        <v>0.3</v>
      </c>
      <c r="D36">
        <v>5</v>
      </c>
      <c r="G36">
        <f>B20*B$36</f>
        <v>40</v>
      </c>
      <c r="H36">
        <f>C20*C$36</f>
        <v>33</v>
      </c>
      <c r="I36">
        <f>D20*D$36</f>
        <v>5</v>
      </c>
    </row>
    <row r="37" spans="1:9" x14ac:dyDescent="0.3">
      <c r="G37">
        <f>B21*B$36</f>
        <v>39</v>
      </c>
      <c r="H37">
        <f>C21*C$36</f>
        <v>36</v>
      </c>
      <c r="I37">
        <f>D21*D$36</f>
        <v>15</v>
      </c>
    </row>
    <row r="38" spans="1:9" x14ac:dyDescent="0.3">
      <c r="G38">
        <f>B22*B$36</f>
        <v>48</v>
      </c>
      <c r="H38">
        <f>C22*C$36</f>
        <v>45</v>
      </c>
      <c r="I38">
        <f>D22*D$36</f>
        <v>25</v>
      </c>
    </row>
    <row r="39" spans="1:9" x14ac:dyDescent="0.3">
      <c r="G39">
        <f>B23*B$36</f>
        <v>17.5</v>
      </c>
      <c r="H39">
        <f>C23*C$36</f>
        <v>48</v>
      </c>
      <c r="I39">
        <f>D23*D$36</f>
        <v>30</v>
      </c>
    </row>
    <row r="40" spans="1:9" x14ac:dyDescent="0.3">
      <c r="G40">
        <f>B24*B$36</f>
        <v>21</v>
      </c>
      <c r="H40">
        <f>C24*C$36</f>
        <v>53.4</v>
      </c>
      <c r="I40">
        <f>D24*D$36</f>
        <v>35</v>
      </c>
    </row>
    <row r="41" spans="1:9" x14ac:dyDescent="0.3">
      <c r="G41">
        <f>B25*B$36</f>
        <v>6</v>
      </c>
      <c r="H41">
        <f>C25*C$36</f>
        <v>57</v>
      </c>
      <c r="I41">
        <f>D25*D$36</f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C1" zoomScale="145" zoomScaleNormal="145" workbookViewId="0">
      <selection activeCell="E26" sqref="E26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/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 x14ac:dyDescent="0.3">
      <c r="A11" s="126" t="s">
        <v>110</v>
      </c>
      <c r="B11" s="127"/>
      <c r="C11" s="127"/>
      <c r="D11" s="128"/>
      <c r="E11" s="30"/>
      <c r="F11" s="26"/>
      <c r="G11" s="26"/>
      <c r="H11" s="26"/>
      <c r="I11" s="129" t="s">
        <v>111</v>
      </c>
      <c r="J11" s="129"/>
      <c r="K11" s="129"/>
      <c r="L11" s="28"/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29" t="s">
        <v>166</v>
      </c>
      <c r="N24" s="129"/>
    </row>
    <row r="25" spans="1:14" x14ac:dyDescent="0.3">
      <c r="A25" s="129" t="s">
        <v>167</v>
      </c>
      <c r="B25" s="129"/>
      <c r="C25" s="129"/>
      <c r="D25" s="129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0"/>
      <c r="N25" s="13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6" t="s">
        <v>212</v>
      </c>
      <c r="B39" s="127"/>
      <c r="C39" s="128"/>
      <c r="D39" s="83"/>
      <c r="E39" s="26"/>
      <c r="F39" s="26"/>
      <c r="G39" s="26"/>
      <c r="H39" s="26"/>
      <c r="I39" s="26"/>
      <c r="J39" s="26"/>
      <c r="K39" s="26"/>
      <c r="L39" s="126" t="s">
        <v>213</v>
      </c>
      <c r="M39" s="127"/>
      <c r="N39" s="12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23"/>
      <c r="M40" s="124"/>
      <c r="N40" s="125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26" t="s">
        <v>110</v>
      </c>
      <c r="B11" s="127"/>
      <c r="C11" s="127"/>
      <c r="D11" s="128"/>
      <c r="E11" s="30" t="str">
        <f>DSUM(A2:E10,E2,G9:G10)&amp;"매"</f>
        <v>4751매</v>
      </c>
      <c r="F11" s="26"/>
      <c r="G11" s="26"/>
      <c r="H11" s="26"/>
      <c r="I11" s="129" t="s">
        <v>111</v>
      </c>
      <c r="J11" s="129"/>
      <c r="K11" s="129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29" t="s">
        <v>166</v>
      </c>
      <c r="N24" s="129"/>
    </row>
    <row r="25" spans="1:14" x14ac:dyDescent="0.3">
      <c r="A25" s="129" t="s">
        <v>167</v>
      </c>
      <c r="B25" s="129"/>
      <c r="C25" s="129"/>
      <c r="D25" s="129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0">
        <f>DMAX(I14:L25,L14,J14:J15)-DMIN(I14:L25,L14,J14:J15)</f>
        <v>300000</v>
      </c>
      <c r="N25" s="13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6" t="s">
        <v>212</v>
      </c>
      <c r="B39" s="127"/>
      <c r="C39" s="128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26" t="s">
        <v>213</v>
      </c>
      <c r="M39" s="127"/>
      <c r="N39" s="12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23">
        <f>DAVERAGE(I28:N37,6,I39:K41)</f>
        <v>272.5</v>
      </c>
      <c r="M40" s="124"/>
      <c r="N40" s="125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5"/>
  <sheetViews>
    <sheetView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/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/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0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/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0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/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0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/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0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/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0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/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0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/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0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/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0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/>
      <c r="F12" s="7"/>
      <c r="G12" s="129" t="s">
        <v>245</v>
      </c>
      <c r="H12" s="129"/>
      <c r="I12" s="129"/>
      <c r="J12" s="129"/>
      <c r="K12" s="33"/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26" t="s">
        <v>300</v>
      </c>
      <c r="M24" s="127"/>
      <c r="N24" s="128"/>
    </row>
    <row r="25" spans="1:14" x14ac:dyDescent="0.3">
      <c r="A25" s="126" t="s">
        <v>301</v>
      </c>
      <c r="B25" s="127"/>
      <c r="C25" s="127"/>
      <c r="D25" s="128"/>
      <c r="E25" s="33"/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1"/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19층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9층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25층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13층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11층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25층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22층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13층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24층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11층</v>
      </c>
      <c r="F12" s="7"/>
      <c r="G12" s="129" t="s">
        <v>245</v>
      </c>
      <c r="H12" s="129"/>
      <c r="I12" s="129"/>
      <c r="J12" s="129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6" t="s">
        <v>300</v>
      </c>
      <c r="M24" s="127"/>
      <c r="N24" s="128"/>
    </row>
    <row r="25" spans="1:14" x14ac:dyDescent="0.3">
      <c r="A25" s="126" t="s">
        <v>301</v>
      </c>
      <c r="B25" s="127"/>
      <c r="C25" s="127"/>
      <c r="D25" s="128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1" t="str">
        <f>SUMIFS(K16:K25,H16:H25,"드라마",I16:I25,"15세이상")&amp;"만원"</f>
        <v>1308만원</v>
      </c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"/>
  <sheetViews>
    <sheetView workbookViewId="0"/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/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/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/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/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/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38"/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38"/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38"/>
    </row>
    <row r="11" spans="1:10" x14ac:dyDescent="0.3">
      <c r="A11" s="129" t="s">
        <v>332</v>
      </c>
      <c r="B11" s="129"/>
      <c r="C11" s="129"/>
      <c r="D11" s="35"/>
      <c r="E11" s="26"/>
      <c r="F11" s="26"/>
      <c r="G11" s="5" t="s">
        <v>333</v>
      </c>
      <c r="H11" s="5">
        <v>535</v>
      </c>
      <c r="I11" s="30">
        <v>30</v>
      </c>
      <c r="J11" s="38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0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0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/>
      <c r="F15" s="26"/>
      <c r="G15" s="83">
        <v>14001</v>
      </c>
      <c r="H15" s="83">
        <v>94</v>
      </c>
      <c r="I15" s="83">
        <v>92</v>
      </c>
      <c r="J15" s="83"/>
    </row>
    <row r="16" spans="1:10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/>
      <c r="F16" s="26"/>
      <c r="G16" s="83">
        <v>14002</v>
      </c>
      <c r="H16" s="83">
        <v>81</v>
      </c>
      <c r="I16" s="83">
        <v>76</v>
      </c>
      <c r="J16" s="83"/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/>
      <c r="F17" s="26"/>
      <c r="G17" s="83">
        <v>14003</v>
      </c>
      <c r="H17" s="83">
        <v>82</v>
      </c>
      <c r="I17" s="83">
        <v>55</v>
      </c>
      <c r="J17" s="83"/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/>
      <c r="F18" s="26"/>
      <c r="G18" s="83">
        <v>14004</v>
      </c>
      <c r="H18" s="83">
        <v>80</v>
      </c>
      <c r="I18" s="83">
        <v>86</v>
      </c>
      <c r="J18" s="83"/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/>
      <c r="F19" s="26"/>
      <c r="G19" s="83">
        <v>14005</v>
      </c>
      <c r="H19" s="83">
        <v>75</v>
      </c>
      <c r="I19" s="83">
        <v>79</v>
      </c>
      <c r="J19" s="83"/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/>
      <c r="F20" s="26"/>
      <c r="G20" s="83">
        <v>14006</v>
      </c>
      <c r="H20" s="83">
        <v>91</v>
      </c>
      <c r="I20" s="83">
        <v>88</v>
      </c>
      <c r="J20" s="83"/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29" t="s">
        <v>332</v>
      </c>
      <c r="B11" s="129"/>
      <c r="C11" s="129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20"/>
      <c r="E11" s="120"/>
      <c r="F11" s="26"/>
      <c r="G11" s="126" t="s">
        <v>397</v>
      </c>
      <c r="H11" s="127"/>
      <c r="I11" s="127"/>
      <c r="J11" s="44"/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34" t="s">
        <v>435</v>
      </c>
      <c r="B24" s="135"/>
      <c r="C24" s="135"/>
      <c r="D24" s="136"/>
      <c r="E24" s="140"/>
      <c r="F24" s="26"/>
      <c r="G24" s="126" t="s">
        <v>436</v>
      </c>
      <c r="H24" s="127"/>
      <c r="I24" s="127"/>
      <c r="J24" s="128"/>
      <c r="K24" s="83"/>
    </row>
    <row r="25" spans="1:11" x14ac:dyDescent="0.3">
      <c r="A25" s="137"/>
      <c r="B25" s="138"/>
      <c r="C25" s="138"/>
      <c r="D25" s="139"/>
      <c r="E25" s="140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32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33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/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0" t="str">
        <f>COUNTIF(C3:C11,"&lt;&gt;대리")&amp;"명"</f>
        <v>6명</v>
      </c>
      <c r="E11" s="120"/>
      <c r="F11" s="26"/>
      <c r="G11" s="126" t="s">
        <v>397</v>
      </c>
      <c r="H11" s="127"/>
      <c r="I11" s="127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4" t="s">
        <v>435</v>
      </c>
      <c r="B24" s="135"/>
      <c r="C24" s="135"/>
      <c r="D24" s="136"/>
      <c r="E24" s="141" t="str">
        <f>COUNTIFS(E15:E22,"&gt;1500000",D15:D22,"&gt;="&amp;AVERAGE(D15:D22))&amp;"명"</f>
        <v>3명</v>
      </c>
      <c r="F24" s="26"/>
      <c r="G24" s="126" t="s">
        <v>436</v>
      </c>
      <c r="H24" s="127"/>
      <c r="I24" s="127"/>
      <c r="J24" s="128"/>
      <c r="K24" s="93">
        <f>AVERAGEIF(I15:I23,"&gt;=40",K15:K23)</f>
        <v>112</v>
      </c>
    </row>
    <row r="25" spans="1:11" x14ac:dyDescent="0.3">
      <c r="A25" s="137"/>
      <c r="B25" s="138"/>
      <c r="C25" s="138"/>
      <c r="D25" s="139"/>
      <c r="E25" s="141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2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3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83"/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0">B4*3+C4*1</f>
        <v>36</v>
      </c>
      <c r="F4" s="83"/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0"/>
        <v>81</v>
      </c>
      <c r="F5" s="83"/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0"/>
        <v>54</v>
      </c>
      <c r="F6" s="83"/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0"/>
        <v>40</v>
      </c>
      <c r="F7" s="83"/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0"/>
        <v>51</v>
      </c>
      <c r="F8" s="83"/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0"/>
        <v>40</v>
      </c>
      <c r="F9" s="83"/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0"/>
        <v>60</v>
      </c>
      <c r="F10" s="83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0"/>
        <v>50</v>
      </c>
      <c r="F11" s="83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0"/>
        <v>34</v>
      </c>
      <c r="F12" s="83"/>
      <c r="G12" s="7"/>
      <c r="H12" s="126" t="s">
        <v>506</v>
      </c>
      <c r="I12" s="127"/>
      <c r="J12" s="127"/>
      <c r="K12" s="128"/>
      <c r="L12" s="85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/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/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/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/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/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/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/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/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42" t="s">
        <v>558</v>
      </c>
      <c r="B34" s="142"/>
      <c r="C34" s="86"/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83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26" t="s">
        <v>506</v>
      </c>
      <c r="I12" s="127"/>
      <c r="J12" s="127"/>
      <c r="K12" s="128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42" t="s">
        <v>558</v>
      </c>
      <c r="B34" s="142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45" t="s">
        <v>582</v>
      </c>
      <c r="L5" s="145"/>
    </row>
    <row r="6" spans="1:12" x14ac:dyDescent="0.3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45" t="s">
        <v>582</v>
      </c>
      <c r="L5" s="145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45" t="s">
        <v>776</v>
      </c>
      <c r="M14" s="145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45" t="s">
        <v>776</v>
      </c>
      <c r="M14" s="145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262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233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144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326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205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239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331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302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51"/>
  <sheetViews>
    <sheetView tabSelected="1" topLeftCell="A37" zoomScale="130" zoomScaleNormal="130" workbookViewId="0">
      <selection activeCell="F44" sqref="F44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17.625" style="32" customWidth="1"/>
    <col min="4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/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07"/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07"/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07"/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07"/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07"/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07"/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07"/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07"/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07"/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/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10"/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10"/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10"/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10"/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10"/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10"/>
    </row>
    <row r="36" spans="1:10" x14ac:dyDescent="0.3">
      <c r="B36" s="32" t="s">
        <v>1196</v>
      </c>
    </row>
    <row r="38" spans="1:10" x14ac:dyDescent="0.3">
      <c r="B38" s="32" t="str">
        <f>LEFT(B36,6)</f>
        <v>MBC 아카</v>
      </c>
      <c r="C38" s="32" t="s">
        <v>1198</v>
      </c>
      <c r="E38" s="32" t="s">
        <v>1197</v>
      </c>
    </row>
    <row r="39" spans="1:10" x14ac:dyDescent="0.3">
      <c r="B39" s="32" t="str">
        <f>RIGHT(B36,6)</f>
        <v>데미 서면점</v>
      </c>
      <c r="C39" s="32" t="s">
        <v>1199</v>
      </c>
      <c r="E39" s="32" t="s">
        <v>1200</v>
      </c>
    </row>
    <row r="40" spans="1:10" x14ac:dyDescent="0.3">
      <c r="B40" s="32" t="str">
        <f>MID(B36,3,5)</f>
        <v>C 아카데</v>
      </c>
      <c r="C40" s="32" t="s">
        <v>1201</v>
      </c>
      <c r="E40" s="32" t="s">
        <v>1202</v>
      </c>
    </row>
    <row r="42" spans="1:10" x14ac:dyDescent="0.3">
      <c r="B42" s="149" t="s">
        <v>1203</v>
      </c>
    </row>
    <row r="43" spans="1:10" x14ac:dyDescent="0.3">
      <c r="B43" s="32" t="str">
        <f>UPPER(B42)</f>
        <v>MBC IT 컴퓨터 ACADEMY</v>
      </c>
      <c r="D43" s="32" t="s">
        <v>1204</v>
      </c>
      <c r="G43" s="32" t="s">
        <v>1205</v>
      </c>
    </row>
    <row r="44" spans="1:10" x14ac:dyDescent="0.3">
      <c r="B44" s="32" t="str">
        <f>LOWER(B42)</f>
        <v>mbc it 컴퓨터 academy</v>
      </c>
      <c r="D44" s="32" t="s">
        <v>1206</v>
      </c>
      <c r="G44" s="32" t="s">
        <v>1207</v>
      </c>
    </row>
    <row r="45" spans="1:10" x14ac:dyDescent="0.3">
      <c r="B45" s="32" t="str">
        <f>PROPER(B42)</f>
        <v>Mbc It 컴퓨터 Academy</v>
      </c>
      <c r="D45" s="32" t="s">
        <v>1208</v>
      </c>
      <c r="G45" s="32" t="s">
        <v>1209</v>
      </c>
    </row>
    <row r="47" spans="1:10" x14ac:dyDescent="0.3">
      <c r="B47" s="32" t="s">
        <v>1210</v>
      </c>
    </row>
    <row r="48" spans="1:10" x14ac:dyDescent="0.3">
      <c r="B48" s="32">
        <f>LEN(B47)</f>
        <v>18</v>
      </c>
      <c r="D48" s="32" t="s">
        <v>1211</v>
      </c>
      <c r="G48" s="32" t="s">
        <v>1212</v>
      </c>
    </row>
    <row r="49" spans="2:7" x14ac:dyDescent="0.3">
      <c r="B49" s="32" t="str">
        <f>TRIM(B47)</f>
        <v>MBC 아카데미</v>
      </c>
      <c r="D49" s="32" t="s">
        <v>1213</v>
      </c>
      <c r="G49" s="32" t="s">
        <v>1214</v>
      </c>
    </row>
    <row r="50" spans="2:7" x14ac:dyDescent="0.3">
      <c r="B50" s="32">
        <f>LEN(B49)</f>
        <v>8</v>
      </c>
    </row>
    <row r="51" spans="2:7" x14ac:dyDescent="0.3">
      <c r="B51" s="32">
        <f>LEN(TRIM(B47))</f>
        <v>8</v>
      </c>
      <c r="C51" s="32" t="s">
        <v>1215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수식</vt:lpstr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2026-09-01T12:52:01Z</dcterms:modified>
</cp:coreProperties>
</file>