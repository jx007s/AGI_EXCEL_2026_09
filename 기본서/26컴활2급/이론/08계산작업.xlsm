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06179069-A057-433A-A49D-BA90E70B709A}" xr6:coauthVersionLast="47" xr6:coauthVersionMax="47" xr10:uidLastSave="{00000000-0000-0000-0000-000000000000}"/>
  <bookViews>
    <workbookView xWindow="22932" yWindow="-108" windowWidth="23256" windowHeight="12576" tabRatio="890" firstSheet="13" activeTab="23" xr2:uid="{00000000-000D-0000-FFFF-FFFF00000000}"/>
  </bookViews>
  <sheets>
    <sheet name="수식" sheetId="28" r:id="rId1"/>
    <sheet name="계산" sheetId="14" r:id="rId2"/>
    <sheet name="계산(결과)" sheetId="1" r:id="rId3"/>
    <sheet name="데이터베이스" sheetId="15" r:id="rId4"/>
    <sheet name="데이터베이스(결과)" sheetId="2" r:id="rId5"/>
    <sheet name="수학삼각1" sheetId="16" r:id="rId6"/>
    <sheet name="수학삼각1(결과)" sheetId="3" r:id="rId7"/>
    <sheet name="수학삼각2" sheetId="17" r:id="rId8"/>
    <sheet name="수학삼각2(결과)" sheetId="4" r:id="rId9"/>
    <sheet name="통계1" sheetId="18" r:id="rId10"/>
    <sheet name="통계1(결과)" sheetId="5" r:id="rId11"/>
    <sheet name="통계2" sheetId="19" r:id="rId12"/>
    <sheet name="통계2(결과)" sheetId="6" r:id="rId13"/>
    <sheet name="찾기참조1" sheetId="20" r:id="rId14"/>
    <sheet name="찾기참조1(결과)" sheetId="7" r:id="rId15"/>
    <sheet name="찾기참조2" sheetId="8" r:id="rId16"/>
    <sheet name="찾기참조2(결과)" sheetId="21" r:id="rId17"/>
    <sheet name="날짜1" sheetId="9" r:id="rId18"/>
    <sheet name="날짜1(결과)" sheetId="22" r:id="rId19"/>
    <sheet name="날짜2" sheetId="23" r:id="rId20"/>
    <sheet name="날짜2(결과)" sheetId="10" r:id="rId21"/>
    <sheet name="텍스트" sheetId="11" r:id="rId22"/>
    <sheet name="텍스트(결과)" sheetId="24" r:id="rId23"/>
    <sheet name="논리1" sheetId="12" r:id="rId24"/>
    <sheet name="논리1(결과)" sheetId="25" r:id="rId25"/>
    <sheet name="논리2" sheetId="13" r:id="rId26"/>
    <sheet name="논리2(결과)" sheetId="27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6" i="12" l="1"/>
  <c r="E17" i="12"/>
  <c r="E18" i="12"/>
  <c r="E19" i="12"/>
  <c r="E20" i="12"/>
  <c r="E21" i="12"/>
  <c r="E22" i="12"/>
  <c r="E23" i="12"/>
  <c r="E15" i="12"/>
  <c r="K4" i="12"/>
  <c r="K5" i="12"/>
  <c r="K6" i="12"/>
  <c r="K7" i="12"/>
  <c r="K8" i="12"/>
  <c r="K9" i="12"/>
  <c r="K10" i="12"/>
  <c r="K11" i="12"/>
  <c r="K3" i="12"/>
  <c r="H59" i="12" a="1"/>
  <c r="H59" i="12" s="1"/>
  <c r="H55" i="12" a="1"/>
  <c r="H55" i="12" s="1"/>
  <c r="H51" i="12"/>
  <c r="H50" i="12"/>
  <c r="H49" i="12"/>
  <c r="H48" i="12"/>
  <c r="H46" i="12"/>
  <c r="H45" i="12"/>
  <c r="H43" i="12"/>
  <c r="H42" i="12"/>
  <c r="H41" i="12"/>
  <c r="H39" i="12"/>
  <c r="H38" i="12"/>
  <c r="H37" i="12"/>
  <c r="H35" i="12"/>
  <c r="H34" i="12"/>
  <c r="H33" i="12"/>
  <c r="H31" i="12"/>
  <c r="H29" i="12"/>
  <c r="H26" i="12"/>
  <c r="J28" i="11"/>
  <c r="J29" i="11"/>
  <c r="J30" i="11"/>
  <c r="J31" i="11"/>
  <c r="J32" i="11"/>
  <c r="J33" i="11"/>
  <c r="J27" i="11"/>
  <c r="E3" i="11"/>
  <c r="E4" i="11"/>
  <c r="E5" i="11"/>
  <c r="E6" i="11"/>
  <c r="E7" i="11"/>
  <c r="E8" i="11"/>
  <c r="E9" i="11"/>
  <c r="E10" i="11"/>
  <c r="E11" i="11"/>
  <c r="E12" i="11"/>
  <c r="B59" i="11"/>
  <c r="B57" i="11"/>
  <c r="B56" i="11"/>
  <c r="B55" i="11"/>
  <c r="B54" i="11"/>
  <c r="B53" i="11"/>
  <c r="B51" i="1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E4" i="27" l="1"/>
  <c r="E5" i="27"/>
  <c r="E6" i="27"/>
  <c r="E7" i="27"/>
  <c r="E8" i="27"/>
  <c r="E9" i="27"/>
  <c r="E10" i="27"/>
  <c r="E11" i="27"/>
  <c r="E12" i="27"/>
  <c r="E3" i="27"/>
  <c r="E11" i="3" l="1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<sst xmlns="http://schemas.openxmlformats.org/spreadsheetml/2006/main" count="3050" uniqueCount="1254">
  <si>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</si>
  <si>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</si>
  <si>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</si>
  <si>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</si>
  <si>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</si>
  <si>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</si>
  <si>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</si>
  <si>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</si>
  <si>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</si>
  <si>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</si>
  <si>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</si>
  <si>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</si>
  <si>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</si>
  <si>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</si>
  <si>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</si>
  <si>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</si>
  <si>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</si>
  <si>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</si>
  <si>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</si>
  <si>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</si>
  <si>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</si>
  <si>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</si>
  <si>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</si>
  <si>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</si>
  <si>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</si>
  <si>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</si>
  <si>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</si>
  <si>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</si>
  <si>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</si>
  <si>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</si>
  <si>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</si>
  <si>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</si>
  <si>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</si>
  <si>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</si>
  <si>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</si>
  <si>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</si>
  <si>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</si>
  <si>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</si>
  <si>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</si>
  <si>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</si>
  <si>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</si>
  <si>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</si>
  <si>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</si>
  <si>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</si>
  <si>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</si>
  <si>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</si>
  <si>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</si>
  <si>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</si>
  <si>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</si>
  <si>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</si>
  <si>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</si>
  <si>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</si>
  <si>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</si>
  <si>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</si>
  <si>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</si>
  <si>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</si>
  <si>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</si>
  <si>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</si>
  <si>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</si>
  <si>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</si>
  <si>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</si>
  <si>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</si>
  <si>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</si>
  <si>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</si>
  <si>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</si>
  <si>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</si>
  <si>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</si>
  <si>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</si>
  <si>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</si>
  <si>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</si>
  <si>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</si>
  <si>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</si>
  <si>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</si>
  <si>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</si>
  <si>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</si>
  <si>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</si>
  <si>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</si>
  <si>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</si>
  <si>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</si>
  <si>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</si>
  <si>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</si>
  <si>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</si>
  <si>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</si>
  <si>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</si>
  <si>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</si>
  <si>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</si>
  <si>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</si>
  <si>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</si>
  <si>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</si>
  <si>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</si>
  <si>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</si>
  <si>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</si>
  <si>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</si>
  <si>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</si>
  <si>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</si>
  <si>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</si>
  <si>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</si>
  <si>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</si>
  <si>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</si>
  <si>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</si>
  <si>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</si>
  <si>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</si>
  <si>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</si>
  <si>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</si>
  <si>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</si>
  <si>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</si>
  <si>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</si>
  <si>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</si>
  <si>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</si>
  <si>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</si>
  <si>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</si>
  <si>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</si>
  <si>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</si>
  <si>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</si>
  <si>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</si>
  <si>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</si>
  <si>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</si>
  <si>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</si>
  <si>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</si>
  <si>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</si>
  <si>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</si>
  <si>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</si>
  <si>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</si>
  <si>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</si>
  <si>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</si>
  <si>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</si>
  <si>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</si>
  <si>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</si>
  <si>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</si>
  <si>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</si>
  <si>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</si>
  <si>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</si>
  <si>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</si>
  <si>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</si>
  <si>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</si>
  <si>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</si>
  <si>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</si>
  <si>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</si>
  <si>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</si>
  <si>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</si>
  <si>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</si>
  <si>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</si>
  <si>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</si>
  <si>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</si>
  <si>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</si>
  <si>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</si>
  <si>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</si>
  <si>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</si>
  <si>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</si>
  <si>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</si>
  <si>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</si>
  <si>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</si>
  <si>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</si>
  <si>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</si>
  <si>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</si>
  <si>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</si>
  <si>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</si>
  <si>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</si>
  <si>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</si>
  <si>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</si>
  <si>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</si>
  <si>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</si>
  <si>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</si>
  <si>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</si>
  <si>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</si>
  <si>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</si>
  <si>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</si>
  <si>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</si>
  <si>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</si>
  <si>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</si>
  <si>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</si>
  <si>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</si>
  <si>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</si>
  <si>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</si>
  <si>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</si>
  <si>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</si>
  <si>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</si>
  <si>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</si>
  <si>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</si>
  <si>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</si>
  <si>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</si>
  <si>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</si>
  <si>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</si>
  <si>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</si>
  <si>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</si>
  <si>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</si>
  <si>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</si>
  <si>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</si>
  <si>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</si>
  <si>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</si>
  <si>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</si>
  <si>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</si>
  <si>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</si>
  <si>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</si>
  <si>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</si>
  <si>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</si>
  <si>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</si>
  <si>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</si>
  <si>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</si>
  <si>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</si>
  <si>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</si>
  <si>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</si>
  <si>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</si>
  <si>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</si>
  <si>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</si>
  <si>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</si>
  <si>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</si>
  <si>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</si>
  <si>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</si>
  <si>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</si>
  <si>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</si>
  <si>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</si>
  <si>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</si>
  <si>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</si>
  <si>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</si>
  <si>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</si>
  <si>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</si>
  <si>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</si>
  <si>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</si>
  <si>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</si>
  <si>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</si>
  <si>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</si>
  <si>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</si>
  <si>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</si>
  <si>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</si>
  <si>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</si>
  <si>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</si>
  <si>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</si>
  <si>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</si>
  <si>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</si>
  <si>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</si>
  <si>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</si>
  <si>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</si>
  <si>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</si>
  <si>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</si>
  <si>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</si>
  <si>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</si>
  <si>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</si>
  <si>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</si>
  <si>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</si>
  <si>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</si>
  <si>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</si>
  <si>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</si>
  <si>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</si>
  <si>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</si>
  <si>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</si>
  <si>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</si>
  <si>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</si>
  <si>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</si>
  <si>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</si>
  <si>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</si>
  <si>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</si>
  <si>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</si>
  <si>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</si>
  <si>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</si>
  <si>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</si>
  <si>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</si>
  <si>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</si>
  <si>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</si>
  <si>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</si>
  <si>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</si>
  <si>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</si>
  <si>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</si>
  <si>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</si>
  <si>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</si>
  <si>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</si>
  <si>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</si>
  <si>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</si>
  <si>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</si>
  <si>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</si>
  <si>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</si>
  <si>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</si>
  <si>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</si>
  <si>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</si>
  <si>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</si>
  <si>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</si>
  <si>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</si>
  <si>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</si>
  <si>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</si>
  <si>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</si>
  <si>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</si>
  <si>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</si>
  <si>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</si>
  <si>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</si>
  <si>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</si>
  <si>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</si>
  <si>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</si>
  <si>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</si>
  <si>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</si>
  <si>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</si>
  <si>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</si>
  <si>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</si>
  <si>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</si>
  <si>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</si>
  <si>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</si>
  <si>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</si>
  <si>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</si>
  <si>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</si>
  <si>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</si>
  <si>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</si>
  <si>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</si>
  <si>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</si>
  <si>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</si>
  <si>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</si>
  <si>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</si>
  <si>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</si>
  <si>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</si>
  <si>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</si>
  <si>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</si>
  <si>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</si>
  <si>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</si>
  <si>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</si>
  <si>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</si>
  <si>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</si>
  <si>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</si>
  <si>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</si>
  <si>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</si>
  <si>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</si>
  <si>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</si>
  <si>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</si>
  <si>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</si>
  <si>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</si>
  <si>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</si>
  <si>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</si>
  <si>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</si>
  <si>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</si>
  <si>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</si>
  <si>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</si>
  <si>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</si>
  <si>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</si>
  <si>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</si>
  <si>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</si>
  <si>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</si>
  <si>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</si>
  <si>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</si>
  <si>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</si>
  <si>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</si>
  <si>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</si>
  <si>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</si>
  <si>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</si>
  <si>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</si>
  <si>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</si>
  <si>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</si>
  <si>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</si>
  <si>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</si>
  <si>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</si>
  <si>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</si>
  <si>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</si>
  <si>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</si>
  <si>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</si>
  <si>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</si>
  <si>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</si>
  <si>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</si>
  <si>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</si>
  <si>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</si>
  <si>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</si>
  <si>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</si>
  <si>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</si>
  <si>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</si>
  <si>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</si>
  <si>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</si>
  <si>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</si>
  <si>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</si>
  <si>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</si>
  <si>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</si>
  <si>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</si>
  <si>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</si>
  <si>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</si>
  <si>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</si>
  <si>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</si>
  <si>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</si>
  <si>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</si>
  <si>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</si>
  <si>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</si>
  <si>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</si>
  <si>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</si>
  <si>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</si>
  <si>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</si>
  <si>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</si>
  <si>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</si>
  <si>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</si>
  <si>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</si>
  <si>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</si>
  <si>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</si>
  <si>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</si>
  <si>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</si>
  <si>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</si>
  <si>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</si>
  <si>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</si>
  <si>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</si>
  <si>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</si>
  <si>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</si>
  <si>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</si>
  <si>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</si>
  <si>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</si>
  <si>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</si>
  <si>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</si>
  <si>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</si>
  <si>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</si>
  <si>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</si>
  <si>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</si>
  <si>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</si>
  <si>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</si>
  <si>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</si>
  <si>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</si>
  <si>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</si>
  <si>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</si>
  <si>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</si>
  <si>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</si>
  <si>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</si>
  <si>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</si>
  <si>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</si>
  <si>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</si>
  <si>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</si>
  <si>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</si>
  <si>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</si>
  <si>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</si>
  <si>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</si>
  <si>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</si>
  <si>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</si>
  <si>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</si>
  <si>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</si>
  <si>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</si>
  <si>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</si>
  <si>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</si>
  <si>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</si>
  <si>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</si>
  <si>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</si>
  <si>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</si>
  <si>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</si>
  <si>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</si>
  <si>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</si>
  <si>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</si>
  <si>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</si>
  <si>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</si>
  <si>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</si>
  <si>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</si>
  <si>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</si>
  <si>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</si>
  <si>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</si>
  <si>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</si>
  <si>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</si>
  <si>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</si>
  <si>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</si>
  <si>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</si>
  <si>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</si>
  <si>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</si>
  <si>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</si>
  <si>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</si>
  <si>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</si>
  <si>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</si>
  <si>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</si>
  <si>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</si>
  <si>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</si>
  <si>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</si>
  <si>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</si>
  <si>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</si>
  <si>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</si>
  <si>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</si>
  <si>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</si>
  <si>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</si>
  <si>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</si>
  <si>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</si>
  <si>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</si>
  <si>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</si>
  <si>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</si>
  <si>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</si>
  <si>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</si>
  <si>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</si>
  <si>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</si>
  <si>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</si>
  <si>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</si>
  <si>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</si>
  <si>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</si>
  <si>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</si>
  <si>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</si>
  <si>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</si>
  <si>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</si>
  <si>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</si>
  <si>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</si>
  <si>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</si>
  <si>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</si>
  <si>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</si>
  <si>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</si>
  <si>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</si>
  <si>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</si>
  <si>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</si>
  <si>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</si>
  <si>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</si>
  <si>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</si>
  <si>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</si>
  <si>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</si>
  <si>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</si>
  <si>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</si>
  <si>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</si>
  <si>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</si>
  <si>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</si>
  <si>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</si>
  <si>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</si>
  <si>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</si>
  <si>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</si>
  <si>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</si>
  <si>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</si>
  <si>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</si>
  <si>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</si>
  <si>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</si>
  <si>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</si>
  <si>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</si>
  <si>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</si>
  <si>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</si>
  <si>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</si>
  <si>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</si>
  <si>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</si>
  <si>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</si>
  <si>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</si>
  <si>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</si>
  <si>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</si>
  <si>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</si>
  <si>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</si>
  <si>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</si>
  <si>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</si>
  <si>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</si>
  <si>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</si>
  <si>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</si>
  <si>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</si>
  <si>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</si>
  <si>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</si>
  <si>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</si>
  <si>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</si>
  <si>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</si>
  <si>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</si>
  <si>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</si>
  <si>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</si>
  <si>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</si>
  <si>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</si>
  <si>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</si>
  <si>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</si>
  <si>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</si>
  <si>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</si>
  <si>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</si>
  <si>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</si>
  <si>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</si>
  <si>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</si>
  <si>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</si>
  <si>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</si>
  <si>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</si>
  <si>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</si>
  <si>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</si>
  <si>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</si>
  <si>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</si>
  <si>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</si>
  <si>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</si>
  <si>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</si>
  <si>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</si>
  <si>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</si>
  <si>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</si>
  <si>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</si>
  <si>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</si>
  <si>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</si>
  <si>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</si>
  <si>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</si>
  <si>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</si>
  <si>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</si>
  <si>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</si>
  <si>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</si>
  <si>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</si>
  <si>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</si>
  <si>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</si>
  <si>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</si>
  <si>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</si>
  <si>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</si>
  <si>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</si>
  <si>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</si>
  <si>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</si>
  <si>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</si>
  <si>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</si>
  <si>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</si>
  <si>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</si>
  <si>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</si>
  <si>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</si>
  <si>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</si>
  <si>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</si>
  <si>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</si>
  <si>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</si>
  <si>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</si>
  <si>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</si>
  <si>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</si>
  <si>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</si>
  <si>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</si>
  <si>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</si>
  <si>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</si>
  <si>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</si>
  <si>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</si>
  <si>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</si>
  <si>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</si>
  <si>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</si>
  <si>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</si>
  <si>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</si>
  <si>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</si>
  <si>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</si>
  <si>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</si>
  <si>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</si>
  <si>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</si>
  <si>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</si>
  <si>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</si>
  <si>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</si>
  <si>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</si>
  <si>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</si>
  <si>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</si>
  <si>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</si>
  <si>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</si>
  <si>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</si>
  <si>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</si>
  <si>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</si>
  <si>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</si>
  <si>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</si>
  <si>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</si>
  <si>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</si>
  <si>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</si>
  <si>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</si>
  <si>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</si>
  <si>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</si>
  <si>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</si>
  <si>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</si>
  <si>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</si>
  <si>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</si>
  <si>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</si>
  <si>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</si>
  <si>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</si>
  <si>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</si>
  <si>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</si>
  <si>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</si>
  <si>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</si>
  <si>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</si>
  <si>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</si>
  <si>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</si>
  <si>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</si>
  <si>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</si>
  <si>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</si>
  <si>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</si>
  <si>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</si>
  <si>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</si>
  <si>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</si>
  <si>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</si>
  <si>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</si>
  <si>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</si>
  <si>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</si>
  <si>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</si>
  <si>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</si>
  <si>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</si>
  <si>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</si>
  <si>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</si>
  <si>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</si>
  <si>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</si>
  <si>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</si>
  <si>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</si>
  <si>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</si>
  <si>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</si>
  <si>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</si>
  <si>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</si>
  <si>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</si>
  <si>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</si>
  <si>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</si>
  <si>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</si>
  <si>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</si>
  <si>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</si>
  <si>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</si>
  <si>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</si>
  <si>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</si>
  <si>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</si>
  <si>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</si>
  <si>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</si>
  <si>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</si>
  <si>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</si>
  <si>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</si>
  <si>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</si>
  <si>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</si>
  <si>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</si>
  <si>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</si>
  <si>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</si>
  <si>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</si>
  <si>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</si>
  <si>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</si>
  <si>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</si>
  <si>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</si>
  <si>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</si>
  <si>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</si>
  <si>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</si>
  <si>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</si>
  <si>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</si>
  <si>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</si>
  <si>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</si>
  <si>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</si>
  <si>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</si>
  <si>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</si>
  <si>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</si>
  <si>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</si>
  <si>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</si>
  <si>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</si>
  <si>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</si>
  <si>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</si>
  <si>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</si>
  <si>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</si>
  <si>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</si>
  <si>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</si>
  <si>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</si>
  <si>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</si>
  <si>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</si>
  <si>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</si>
  <si>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</si>
  <si>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</si>
  <si>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</si>
  <si>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</si>
  <si>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</si>
  <si>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</si>
  <si>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</si>
  <si>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</si>
  <si>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</si>
  <si>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</si>
  <si>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</si>
  <si>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</si>
  <si>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</si>
  <si>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</si>
  <si>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</si>
  <si>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</si>
  <si>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</si>
  <si>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</si>
  <si>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</si>
  <si>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</si>
  <si>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</si>
  <si>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</si>
  <si>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</si>
  <si>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</si>
  <si>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</si>
  <si>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</si>
  <si>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</si>
  <si>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</si>
  <si>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</si>
  <si>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</si>
  <si>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</si>
  <si>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</si>
  <si>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</si>
  <si>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</si>
  <si>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</si>
  <si>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</si>
  <si>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</si>
  <si>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</si>
  <si>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</si>
  <si>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</si>
  <si>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</si>
  <si>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</si>
  <si>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</si>
  <si>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</si>
  <si>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</si>
  <si>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</si>
  <si>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</si>
  <si>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</si>
  <si>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</si>
  <si>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</si>
  <si>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</si>
  <si>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</si>
  <si>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</si>
  <si>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</si>
  <si>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</si>
  <si>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</si>
  <si>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</si>
  <si>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</si>
  <si>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</si>
  <si>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</si>
  <si>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</si>
  <si>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</si>
  <si>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</si>
  <si>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</si>
  <si>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</si>
  <si>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</si>
  <si>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</si>
  <si>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</si>
  <si>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</si>
  <si>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</si>
  <si>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</si>
  <si>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</si>
  <si>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</si>
  <si>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</si>
  <si>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</si>
  <si>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</si>
  <si>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</si>
  <si>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</si>
  <si>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</si>
  <si>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</si>
  <si>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</si>
  <si>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</si>
  <si>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</si>
  <si>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</si>
  <si>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</si>
  <si>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</si>
  <si>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</si>
  <si>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</si>
  <si>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</si>
  <si>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</si>
  <si>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</si>
  <si>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</si>
  <si>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</si>
  <si>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</si>
  <si>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</si>
  <si>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</si>
  <si>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</si>
  <si>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</si>
  <si>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</si>
  <si>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</si>
  <si>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</si>
  <si>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</si>
  <si>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</si>
  <si>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</si>
  <si>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</si>
  <si>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</si>
  <si>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</si>
  <si>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</si>
  <si>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</si>
  <si>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</si>
  <si>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</si>
  <si>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</si>
  <si>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</si>
  <si>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</si>
  <si>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</si>
  <si>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</si>
  <si>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</si>
  <si>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</si>
  <si>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</si>
  <si>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</si>
  <si>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</si>
  <si>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</si>
  <si>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</si>
  <si>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</si>
  <si>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</si>
  <si>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</si>
  <si>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</si>
  <si>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</si>
  <si>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</si>
  <si>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</si>
  <si>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</si>
  <si>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</si>
  <si>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</si>
  <si>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</si>
  <si>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</si>
  <si>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</si>
  <si>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</si>
  <si>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</si>
  <si>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</si>
  <si>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</si>
  <si>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</si>
  <si>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</si>
  <si>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</si>
  <si>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</si>
  <si>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</si>
  <si>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</si>
  <si>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</si>
  <si>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</si>
  <si>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</si>
  <si>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</si>
  <si>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</si>
  <si>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</si>
  <si>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</si>
  <si>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</si>
  <si>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</si>
  <si>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</si>
  <si>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</si>
  <si>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</si>
  <si>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</si>
  <si>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</si>
  <si>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</si>
  <si>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</si>
  <si>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</si>
  <si>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</si>
  <si>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</si>
  <si>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</si>
  <si>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</si>
  <si>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</si>
  <si>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</si>
  <si>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</si>
  <si>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</si>
  <si>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</si>
  <si>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</si>
  <si>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</si>
  <si>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</si>
  <si>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</si>
  <si>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</si>
  <si>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</si>
  <si>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</si>
  <si>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</si>
  <si>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</si>
  <si>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</si>
  <si>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</si>
  <si>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</si>
  <si>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</si>
  <si>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</si>
  <si>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</si>
  <si>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</si>
  <si>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</si>
  <si>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</si>
  <si>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</si>
  <si>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</si>
  <si>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</si>
  <si>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</si>
  <si>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</si>
  <si>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</si>
  <si>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</si>
  <si>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</si>
  <si>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</si>
  <si>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</si>
  <si>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</si>
  <si>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</si>
  <si>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</si>
  <si>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</si>
  <si>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</si>
  <si>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</si>
  <si>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</si>
  <si>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</si>
  <si>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</si>
  <si>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</si>
  <si>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</si>
  <si>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</si>
  <si>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</si>
  <si>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</si>
  <si>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</si>
  <si>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</si>
  <si>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</si>
  <si>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</si>
  <si>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</si>
  <si>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</si>
  <si>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</si>
  <si>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</si>
  <si>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</si>
  <si>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</si>
  <si>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</si>
  <si>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</si>
  <si>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</si>
  <si>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</si>
  <si>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</si>
  <si>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</si>
  <si>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</si>
  <si>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</si>
  <si>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</si>
  <si>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</si>
  <si>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</si>
  <si>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</si>
  <si>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</si>
  <si>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</si>
  <si>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</si>
  <si>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</si>
  <si>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</si>
  <si>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</si>
  <si>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</si>
  <si>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</si>
  <si>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</si>
  <si>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</si>
  <si>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</si>
  <si>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</si>
  <si>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</si>
  <si>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</si>
  <si>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</si>
  <si>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</si>
  <si>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</si>
  <si>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</si>
  <si>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</si>
  <si>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</si>
  <si>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</si>
  <si>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</si>
  <si>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</si>
  <si>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</si>
  <si>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</si>
  <si>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</si>
  <si>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</si>
  <si>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</si>
  <si>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</si>
  <si>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</si>
  <si>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</si>
  <si>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</si>
  <si>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</si>
  <si>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</si>
  <si>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</si>
  <si>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</si>
  <si>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</si>
  <si>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</si>
  <si>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</si>
  <si>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</si>
  <si>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</si>
  <si>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</si>
  <si>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</si>
  <si>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</si>
  <si>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</si>
  <si>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</si>
  <si>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</si>
  <si>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</si>
  <si>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</si>
  <si>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</si>
  <si>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</si>
  <si>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</si>
  <si>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</si>
  <si>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</si>
  <si>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</si>
  <si>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</si>
  <si>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</si>
  <si>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</si>
  <si>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</si>
  <si>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</si>
  <si>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</si>
  <si>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</si>
  <si>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</si>
  <si>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</si>
  <si>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</si>
  <si>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</si>
  <si>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</si>
  <si>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</si>
  <si>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</si>
  <si>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</si>
  <si>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</si>
  <si>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</si>
  <si>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</si>
  <si>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</si>
  <si>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</si>
  <si>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</si>
  <si>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</si>
  <si>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</si>
  <si>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</si>
  <si>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</si>
  <si>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</si>
  <si>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</si>
  <si>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</si>
  <si>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</si>
  <si>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</si>
  <si>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</si>
  <si>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</si>
  <si>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</si>
  <si>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</si>
  <si>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</si>
  <si>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</si>
  <si>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</si>
  <si>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</si>
  <si>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</si>
  <si>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</si>
  <si>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</si>
  <si>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</si>
  <si>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</si>
  <si>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</si>
  <si>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</si>
  <si>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</si>
  <si>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</si>
  <si>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</si>
  <si>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</si>
  <si>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</si>
  <si>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</si>
  <si>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</si>
  <si>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</si>
  <si>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</si>
  <si>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</si>
  <si>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</si>
  <si>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</si>
  <si>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</si>
  <si>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</si>
  <si>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</si>
  <si>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</si>
  <si>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</si>
  <si>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</si>
  <si>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</si>
  <si>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</si>
  <si>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</si>
  <si>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</si>
  <si>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</si>
  <si>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</si>
  <si>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</si>
  <si>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</si>
  <si>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</si>
  <si>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</si>
  <si>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</si>
  <si>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</si>
  <si>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</si>
  <si>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</si>
  <si>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</si>
  <si>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</si>
  <si>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</si>
  <si>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</si>
  <si>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</si>
  <si>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</si>
  <si>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</si>
  <si>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</si>
  <si>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</si>
  <si>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</si>
  <si>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</si>
  <si>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</si>
  <si>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</si>
  <si>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</si>
  <si>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</si>
  <si>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</si>
  <si>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</si>
  <si>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</si>
  <si>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</si>
  <si>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</si>
  <si>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</si>
  <si>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</si>
  <si>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</si>
  <si>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</si>
  <si>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</si>
  <si>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</si>
  <si>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</si>
  <si>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</si>
  <si>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</si>
  <si>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</si>
  <si>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</si>
  <si>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</si>
  <si>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</si>
  <si>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</si>
  <si>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</si>
  <si>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</si>
  <si>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</si>
  <si>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</si>
  <si>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</si>
  <si>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</si>
  <si>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</si>
  <si>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</si>
  <si>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</si>
  <si>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</si>
  <si>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</si>
  <si>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</si>
  <si>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</si>
  <si>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</si>
  <si>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</si>
  <si>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</si>
  <si>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</si>
  <si>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</si>
  <si>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</si>
  <si>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</si>
  <si>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</si>
  <si>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</si>
  <si>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</si>
  <si>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</si>
  <si>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</si>
  <si>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</si>
  <si>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</si>
  <si>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</si>
  <si>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</si>
  <si>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</si>
  <si>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</si>
  <si>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</si>
  <si>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</si>
  <si>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</si>
  <si>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</si>
  <si>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</si>
  <si>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</si>
  <si>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</si>
  <si>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</si>
  <si>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</si>
  <si>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</si>
  <si>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</si>
  <si>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</si>
  <si>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</si>
  <si>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</si>
  <si>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</si>
  <si>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</si>
  <si>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</si>
  <si>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</si>
  <si>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</si>
  <si>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</si>
  <si>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</si>
  <si>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</si>
  <si>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</si>
  <si>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</si>
  <si>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</si>
  <si>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</si>
  <si>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</si>
  <si>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</si>
  <si>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</si>
  <si>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</si>
  <si>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</si>
  <si>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</si>
  <si>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</si>
  <si>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</si>
  <si>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</si>
  <si>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</si>
  <si>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</si>
  <si>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</si>
  <si>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</si>
  <si>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</si>
  <si>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</si>
  <si>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</si>
  <si>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</si>
  <si>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</si>
  <si>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</si>
  <si>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</si>
  <si>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</si>
  <si>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</si>
  <si>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</si>
  <si>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</si>
  <si>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</si>
  <si>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</si>
  <si>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</si>
  <si>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</si>
  <si>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</si>
  <si>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</si>
  <si>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</si>
  <si>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</si>
  <si>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</si>
  <si>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</si>
  <si>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</si>
  <si>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</si>
  <si>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</si>
  <si>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</si>
  <si>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</si>
  <si>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</si>
  <si>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</si>
  <si>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</si>
  <si>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</si>
  <si>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</si>
  <si>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</si>
  <si>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</si>
  <si>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</si>
  <si>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</si>
  <si>
    <t>FIND(찾을문자열,원본문자열)</t>
    <phoneticPr fontId="2" type="noConversion"/>
  </si>
  <si>
    <t>찾을 문자열이 몇번째인지</t>
    <phoneticPr fontId="2" type="noConversion"/>
  </si>
  <si>
    <t>찾는 문자열이 존재하지 못할 경우</t>
    <phoneticPr fontId="2" type="noConversion"/>
  </si>
  <si>
    <t>FIND(찾을문자열,원본문자열,시작위치)</t>
    <phoneticPr fontId="2" type="noConversion"/>
  </si>
  <si>
    <t>시작위치로부터 찾기 시작</t>
    <phoneticPr fontId="2" type="noConversion"/>
  </si>
  <si>
    <t>찾을 문자열 대소문자구분</t>
    <phoneticPr fontId="2" type="noConversion"/>
  </si>
  <si>
    <t>search(찾을문자열,원본문자열)</t>
    <phoneticPr fontId="2" type="noConversion"/>
  </si>
  <si>
    <t>find 와 같으나 찾을 문자열 대소문자 구분안함</t>
    <phoneticPr fontId="2" type="noConversion"/>
  </si>
  <si>
    <t>IF(TRUE,"참이지롱","거짓부렁")</t>
  </si>
  <si>
    <t>IF(조건,참일때값,거짓일때값)</t>
    <phoneticPr fontId="2" type="noConversion"/>
  </si>
  <si>
    <t>조건이 참(TRUE) 일 경우 2번째매개변수리턴
거짓(FALSE)일경우 3번째매개변수리턴</t>
    <phoneticPr fontId="2" type="noConversion"/>
  </si>
  <si>
    <t>점수:</t>
    <phoneticPr fontId="2" type="noConversion"/>
  </si>
  <si>
    <t>IF(H28&gt;=80,"합격","불합격")</t>
  </si>
  <si>
    <t>우수    양호    정상   미달
     80        60      40</t>
    <phoneticPr fontId="2" type="noConversion"/>
  </si>
  <si>
    <t>IF(H28&gt;=80,"우수",IF(H28&gt;=60,"양호",IF(H28&gt;=40,"정상","미달")))</t>
  </si>
  <si>
    <t>AND(TRUE,TRUE,TRUE)</t>
    <phoneticPr fontId="2" type="noConversion"/>
  </si>
  <si>
    <t>AND(TRUE,FALSE,TRUE)</t>
    <phoneticPr fontId="2" type="noConversion"/>
  </si>
  <si>
    <t>AND(FALSE,FALSE,FALSE)</t>
    <phoneticPr fontId="2" type="noConversion"/>
  </si>
  <si>
    <t>and : 모든 매개변수가 TRUE 일때 TRUE</t>
    <phoneticPr fontId="2" type="noConversion"/>
  </si>
  <si>
    <t>AND(10,123)</t>
    <phoneticPr fontId="2" type="noConversion"/>
  </si>
  <si>
    <t>숫자 : 0 - FALSE,    0제외 - TRUE</t>
    <phoneticPr fontId="2" type="noConversion"/>
  </si>
  <si>
    <t>AND(10,123,-1345,-0.123)</t>
    <phoneticPr fontId="2" type="noConversion"/>
  </si>
  <si>
    <t>or(TRUE,TRUE,TRUE)</t>
  </si>
  <si>
    <t>or(TRUE,TRUE,FALSE)</t>
    <phoneticPr fontId="2" type="noConversion"/>
  </si>
  <si>
    <t>or(FALSE,FALSE,FALSE)</t>
    <phoneticPr fontId="2" type="noConversion"/>
  </si>
  <si>
    <t>or : 매개변수 1개라도 TRUE 일때 TRUE</t>
    <phoneticPr fontId="2" type="noConversion"/>
  </si>
  <si>
    <t>NOT(TRUE)</t>
    <phoneticPr fontId="2" type="noConversion"/>
  </si>
  <si>
    <t>NOT(FALSE)</t>
    <phoneticPr fontId="2" type="noConversion"/>
  </si>
  <si>
    <t>not : 매개변수의 반대</t>
    <phoneticPr fontId="2" type="noConversion"/>
  </si>
  <si>
    <t>10/5</t>
    <phoneticPr fontId="2" type="noConversion"/>
  </si>
  <si>
    <t>10/0</t>
    <phoneticPr fontId="2" type="noConversion"/>
  </si>
  <si>
    <t>IFERROR(수식,오류대체문자값) - 첫번째 수식이 에러일 경우 두번째 매개변수 리턴</t>
    <phoneticPr fontId="2" type="noConversion"/>
  </si>
  <si>
    <t>IFS(H54&gt;=80,"우수",H54&gt;=60,"양호",H54&gt;=40,"정상",H54&lt;40,"미달")</t>
  </si>
  <si>
    <t>IFS(조건1,값1,조건2,값2,조건3,값3...)</t>
    <phoneticPr fontId="2" type="noConversion"/>
  </si>
  <si>
    <t>각 조건에 충족할때 해당 값 리턴</t>
    <phoneticPr fontId="2" type="noConversion"/>
  </si>
  <si>
    <t>SWITCH(H58,0,"짜장면",10,"돈가스",20,"제육",30,"국밥","김치찌개")</t>
    <phoneticPr fontId="2" type="noConversion"/>
  </si>
  <si>
    <t>SWITCH(찾을값, 번호1,값1,번호2,값2,번호3,값3,…, 나머지)</t>
    <phoneticPr fontId="2" type="noConversion"/>
  </si>
  <si>
    <t>찾을값에 해당하는 번호의 값 리턴, 번호가 없을경우 나머지 리턴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</si>
</sst>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4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22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22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 t="shared" ref="G20:H25" si="0">B20+C20</f>
        <v>190</v>
      </c>
      <c r="H20">
        <f t="shared" si="0"/>
        <v>111</v>
      </c>
    </row>
    <row r="21" spans="1:9" x14ac:dyDescent="0.3">
      <c r="B21">
        <v>78</v>
      </c>
      <c r="C21">
        <v>120</v>
      </c>
      <c r="D21">
        <v>3</v>
      </c>
      <c r="G21">
        <f t="shared" si="0"/>
        <v>198</v>
      </c>
      <c r="H21">
        <f t="shared" si="0"/>
        <v>123</v>
      </c>
    </row>
    <row r="22" spans="1:9" x14ac:dyDescent="0.3">
      <c r="B22">
        <v>96</v>
      </c>
      <c r="C22">
        <v>150</v>
      </c>
      <c r="D22">
        <v>5</v>
      </c>
      <c r="G22">
        <f t="shared" si="0"/>
        <v>246</v>
      </c>
      <c r="H22">
        <f t="shared" si="0"/>
        <v>155</v>
      </c>
    </row>
    <row r="23" spans="1:9" x14ac:dyDescent="0.3">
      <c r="B23">
        <v>35</v>
      </c>
      <c r="C23">
        <v>160</v>
      </c>
      <c r="D23">
        <v>6</v>
      </c>
      <c r="G23">
        <f t="shared" si="0"/>
        <v>195</v>
      </c>
      <c r="H23">
        <f t="shared" si="0"/>
        <v>166</v>
      </c>
    </row>
    <row r="24" spans="1:9" x14ac:dyDescent="0.3">
      <c r="B24">
        <v>42</v>
      </c>
      <c r="C24">
        <v>178</v>
      </c>
      <c r="D24">
        <v>7</v>
      </c>
      <c r="G24">
        <f t="shared" si="0"/>
        <v>220</v>
      </c>
      <c r="H24">
        <f t="shared" si="0"/>
        <v>185</v>
      </c>
    </row>
    <row r="25" spans="1:9" x14ac:dyDescent="0.3">
      <c r="B25">
        <v>12</v>
      </c>
      <c r="C25">
        <v>190</v>
      </c>
      <c r="D25">
        <v>4</v>
      </c>
      <c r="G25">
        <f t="shared" si="0"/>
        <v>202</v>
      </c>
      <c r="H25">
        <f t="shared" si="0"/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 t="shared" ref="G28:I33" si="1">B20+$B$28</f>
        <v>100</v>
      </c>
      <c r="H28">
        <f t="shared" si="1"/>
        <v>130</v>
      </c>
      <c r="I28">
        <f t="shared" si="1"/>
        <v>21</v>
      </c>
    </row>
    <row r="29" spans="1:9" x14ac:dyDescent="0.3">
      <c r="G29">
        <f t="shared" si="1"/>
        <v>98</v>
      </c>
      <c r="H29">
        <f t="shared" si="1"/>
        <v>140</v>
      </c>
      <c r="I29">
        <f t="shared" si="1"/>
        <v>23</v>
      </c>
    </row>
    <row r="30" spans="1:9" x14ac:dyDescent="0.3">
      <c r="G30">
        <f t="shared" si="1"/>
        <v>116</v>
      </c>
      <c r="H30">
        <f t="shared" si="1"/>
        <v>170</v>
      </c>
      <c r="I30">
        <f t="shared" si="1"/>
        <v>25</v>
      </c>
    </row>
    <row r="31" spans="1:9" x14ac:dyDescent="0.3">
      <c r="G31">
        <f t="shared" si="1"/>
        <v>55</v>
      </c>
      <c r="H31">
        <f t="shared" si="1"/>
        <v>180</v>
      </c>
      <c r="I31">
        <f t="shared" si="1"/>
        <v>26</v>
      </c>
    </row>
    <row r="32" spans="1:9" x14ac:dyDescent="0.3">
      <c r="G32">
        <f t="shared" si="1"/>
        <v>62</v>
      </c>
      <c r="H32">
        <f t="shared" si="1"/>
        <v>198</v>
      </c>
      <c r="I32">
        <f t="shared" si="1"/>
        <v>27</v>
      </c>
    </row>
    <row r="33" spans="1:9" x14ac:dyDescent="0.3">
      <c r="G33">
        <f t="shared" si="1"/>
        <v>32</v>
      </c>
      <c r="H33">
        <f t="shared" si="1"/>
        <v>210</v>
      </c>
      <c r="I33">
        <f t="shared" si="1"/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 t="shared" ref="G36:I41" si="2">B20*B$36</f>
        <v>40</v>
      </c>
      <c r="H36">
        <f t="shared" si="2"/>
        <v>33</v>
      </c>
      <c r="I36">
        <f t="shared" si="2"/>
        <v>5</v>
      </c>
    </row>
    <row r="37" spans="1:9" x14ac:dyDescent="0.3">
      <c r="G37">
        <f t="shared" si="2"/>
        <v>39</v>
      </c>
      <c r="H37">
        <f t="shared" si="2"/>
        <v>36</v>
      </c>
      <c r="I37">
        <f t="shared" si="2"/>
        <v>15</v>
      </c>
    </row>
    <row r="38" spans="1:9" x14ac:dyDescent="0.3">
      <c r="G38">
        <f t="shared" si="2"/>
        <v>48</v>
      </c>
      <c r="H38">
        <f t="shared" si="2"/>
        <v>45</v>
      </c>
      <c r="I38">
        <f t="shared" si="2"/>
        <v>25</v>
      </c>
    </row>
    <row r="39" spans="1:9" x14ac:dyDescent="0.3">
      <c r="G39">
        <f t="shared" si="2"/>
        <v>17.5</v>
      </c>
      <c r="H39">
        <f t="shared" si="2"/>
        <v>48</v>
      </c>
      <c r="I39">
        <f t="shared" si="2"/>
        <v>30</v>
      </c>
    </row>
    <row r="40" spans="1:9" x14ac:dyDescent="0.3">
      <c r="G40">
        <f t="shared" si="2"/>
        <v>21</v>
      </c>
      <c r="H40">
        <f t="shared" si="2"/>
        <v>53.4</v>
      </c>
      <c r="I40">
        <f t="shared" si="2"/>
        <v>35</v>
      </c>
    </row>
    <row r="41" spans="1:9" x14ac:dyDescent="0.3">
      <c r="G41">
        <f t="shared" si="2"/>
        <v>6</v>
      </c>
      <c r="H41">
        <f t="shared" si="2"/>
        <v>57</v>
      </c>
      <c r="I41">
        <f t="shared" si="2"/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4" t="s">
        <v>48</v>
      </c>
      <c r="B18" s="124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5" t="s">
        <v>63</v>
      </c>
      <c r="B28" s="126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5" t="s">
        <v>64</v>
      </c>
      <c r="B29" s="126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4" t="s">
        <v>48</v>
      </c>
      <c r="B18" s="124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5" t="s">
        <v>63</v>
      </c>
      <c r="B28" s="126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5" t="s">
        <v>64</v>
      </c>
      <c r="B29" s="126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30" t="s">
        <v>110</v>
      </c>
      <c r="B11" s="131"/>
      <c r="C11" s="131"/>
      <c r="D11" s="132"/>
      <c r="E11" s="30"/>
      <c r="F11" s="26"/>
      <c r="G11" s="26"/>
      <c r="H11" s="26"/>
      <c r="I11" s="133" t="s">
        <v>111</v>
      </c>
      <c r="J11" s="133"/>
      <c r="K11" s="133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33" t="s">
        <v>166</v>
      </c>
      <c r="N24" s="133"/>
    </row>
    <row r="25" spans="1:14" x14ac:dyDescent="0.3">
      <c r="A25" s="133" t="s">
        <v>167</v>
      </c>
      <c r="B25" s="133"/>
      <c r="C25" s="133"/>
      <c r="D25" s="133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4"/>
      <c r="N25" s="134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0" t="s">
        <v>212</v>
      </c>
      <c r="B39" s="131"/>
      <c r="C39" s="132"/>
      <c r="D39" s="83"/>
      <c r="E39" s="26"/>
      <c r="F39" s="26"/>
      <c r="G39" s="26"/>
      <c r="H39" s="26"/>
      <c r="I39" s="26"/>
      <c r="J39" s="26"/>
      <c r="K39" s="26"/>
      <c r="L39" s="130" t="s">
        <v>213</v>
      </c>
      <c r="M39" s="131"/>
      <c r="N39" s="132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27"/>
      <c r="M40" s="128"/>
      <c r="N40" s="129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30" t="s">
        <v>110</v>
      </c>
      <c r="B11" s="131"/>
      <c r="C11" s="131"/>
      <c r="D11" s="132"/>
      <c r="E11" s="30" t="str">
        <f>DSUM(A2:E10,E2,G9:G10)&amp;"매"</f>
        <v>4751매</v>
      </c>
      <c r="F11" s="26"/>
      <c r="G11" s="26"/>
      <c r="H11" s="26"/>
      <c r="I11" s="133" t="s">
        <v>111</v>
      </c>
      <c r="J11" s="133"/>
      <c r="K11" s="133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3" t="s">
        <v>166</v>
      </c>
      <c r="N24" s="133"/>
    </row>
    <row r="25" spans="1:14" x14ac:dyDescent="0.3">
      <c r="A25" s="133" t="s">
        <v>167</v>
      </c>
      <c r="B25" s="133"/>
      <c r="C25" s="133"/>
      <c r="D25" s="133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4">
        <f>DMAX(I14:L25,L14,J14:J15)-DMIN(I14:L25,L14,J14:J15)</f>
        <v>300000</v>
      </c>
      <c r="N25" s="134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0" t="s">
        <v>212</v>
      </c>
      <c r="B39" s="131"/>
      <c r="C39" s="132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30" t="s">
        <v>213</v>
      </c>
      <c r="M39" s="131"/>
      <c r="N39" s="132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27">
        <f>DAVERAGE(I28:N37,6,I39:K41)</f>
        <v>272.5</v>
      </c>
      <c r="M40" s="128"/>
      <c r="N40" s="129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5"/>
  <sheetViews>
    <sheetView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/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/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0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/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0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/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0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/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0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/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0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/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0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/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0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/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0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/>
      <c r="F12" s="7"/>
      <c r="G12" s="133" t="s">
        <v>245</v>
      </c>
      <c r="H12" s="133"/>
      <c r="I12" s="133"/>
      <c r="J12" s="133"/>
      <c r="K12" s="33"/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30" t="s">
        <v>300</v>
      </c>
      <c r="M24" s="131"/>
      <c r="N24" s="132"/>
    </row>
    <row r="25" spans="1:14" x14ac:dyDescent="0.3">
      <c r="A25" s="130" t="s">
        <v>301</v>
      </c>
      <c r="B25" s="131"/>
      <c r="C25" s="131"/>
      <c r="D25" s="132"/>
      <c r="E25" s="33"/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5"/>
      <c r="M25" s="135"/>
      <c r="N25" s="126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25층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24층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22층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7층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10층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2층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14층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11층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5층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15층</v>
      </c>
      <c r="F12" s="7"/>
      <c r="G12" s="133" t="s">
        <v>245</v>
      </c>
      <c r="H12" s="133"/>
      <c r="I12" s="133"/>
      <c r="J12" s="133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30" t="s">
        <v>300</v>
      </c>
      <c r="M24" s="131"/>
      <c r="N24" s="132"/>
    </row>
    <row r="25" spans="1:14" x14ac:dyDescent="0.3">
      <c r="A25" s="130" t="s">
        <v>301</v>
      </c>
      <c r="B25" s="131"/>
      <c r="C25" s="131"/>
      <c r="D25" s="132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5" t="str">
        <f>SUMIFS(K16:K25,H16:H25,"드라마",I16:I25,"15세이상")&amp;"만원"</f>
        <v>1308만원</v>
      </c>
      <c r="M25" s="135"/>
      <c r="N25" s="126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/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/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/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/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/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38"/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38"/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38"/>
    </row>
    <row r="11" spans="1:10" x14ac:dyDescent="0.3">
      <c r="A11" s="133" t="s">
        <v>332</v>
      </c>
      <c r="B11" s="133"/>
      <c r="C11" s="133"/>
      <c r="D11" s="35"/>
      <c r="E11" s="26"/>
      <c r="F11" s="26"/>
      <c r="G11" s="5" t="s">
        <v>333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0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0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/>
      <c r="F15" s="26"/>
      <c r="G15" s="83">
        <v>14001</v>
      </c>
      <c r="H15" s="83">
        <v>94</v>
      </c>
      <c r="I15" s="83">
        <v>92</v>
      </c>
      <c r="J15" s="83"/>
    </row>
    <row r="16" spans="1:10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/>
      <c r="F16" s="26"/>
      <c r="G16" s="83">
        <v>14002</v>
      </c>
      <c r="H16" s="83">
        <v>81</v>
      </c>
      <c r="I16" s="83">
        <v>76</v>
      </c>
      <c r="J16" s="83"/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/>
      <c r="F17" s="26"/>
      <c r="G17" s="83">
        <v>14003</v>
      </c>
      <c r="H17" s="83">
        <v>82</v>
      </c>
      <c r="I17" s="83">
        <v>55</v>
      </c>
      <c r="J17" s="83"/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/>
      <c r="F18" s="26"/>
      <c r="G18" s="83">
        <v>14004</v>
      </c>
      <c r="H18" s="83">
        <v>80</v>
      </c>
      <c r="I18" s="83">
        <v>86</v>
      </c>
      <c r="J18" s="83"/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/>
      <c r="F19" s="26"/>
      <c r="G19" s="83">
        <v>14005</v>
      </c>
      <c r="H19" s="83">
        <v>75</v>
      </c>
      <c r="I19" s="83">
        <v>79</v>
      </c>
      <c r="J19" s="83"/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/>
      <c r="F20" s="26"/>
      <c r="G20" s="83">
        <v>14006</v>
      </c>
      <c r="H20" s="83">
        <v>91</v>
      </c>
      <c r="I20" s="83">
        <v>88</v>
      </c>
      <c r="J20" s="83"/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3" t="s">
        <v>332</v>
      </c>
      <c r="B11" s="133"/>
      <c r="C11" s="133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33" t="s">
        <v>393</v>
      </c>
      <c r="E10" s="133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4"/>
      <c r="E11" s="124"/>
      <c r="F11" s="26"/>
      <c r="G11" s="130" t="s">
        <v>397</v>
      </c>
      <c r="H11" s="131"/>
      <c r="I11" s="131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38" t="s">
        <v>435</v>
      </c>
      <c r="B24" s="139"/>
      <c r="C24" s="139"/>
      <c r="D24" s="140"/>
      <c r="E24" s="144"/>
      <c r="F24" s="26"/>
      <c r="G24" s="130" t="s">
        <v>436</v>
      </c>
      <c r="H24" s="131"/>
      <c r="I24" s="131"/>
      <c r="J24" s="132"/>
      <c r="K24" s="83"/>
    </row>
    <row r="25" spans="1:11" x14ac:dyDescent="0.3">
      <c r="A25" s="141"/>
      <c r="B25" s="142"/>
      <c r="C25" s="142"/>
      <c r="D25" s="143"/>
      <c r="E25" s="144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6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37"/>
      <c r="F29" s="26"/>
      <c r="G29" s="5" t="s">
        <v>450</v>
      </c>
      <c r="H29" s="5" t="s">
        <v>188</v>
      </c>
      <c r="I29" s="5">
        <v>87</v>
      </c>
      <c r="J29" s="5"/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/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3" t="s">
        <v>393</v>
      </c>
      <c r="E10" s="133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4" t="str">
        <f>COUNTIF(C3:C11,"&lt;&gt;대리")&amp;"명"</f>
        <v>6명</v>
      </c>
      <c r="E11" s="124"/>
      <c r="F11" s="26"/>
      <c r="G11" s="130" t="s">
        <v>397</v>
      </c>
      <c r="H11" s="131"/>
      <c r="I11" s="131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38" t="s">
        <v>435</v>
      </c>
      <c r="B24" s="139"/>
      <c r="C24" s="139"/>
      <c r="D24" s="140"/>
      <c r="E24" s="145" t="str">
        <f>COUNTIFS(E15:E22,"&gt;1500000",D15:D22,"&gt;="&amp;AVERAGE(D15:D22))&amp;"명"</f>
        <v>3명</v>
      </c>
      <c r="F24" s="26"/>
      <c r="G24" s="130" t="s">
        <v>436</v>
      </c>
      <c r="H24" s="131"/>
      <c r="I24" s="131"/>
      <c r="J24" s="132"/>
      <c r="K24" s="93">
        <f>AVERAGEIF(I15:I23,"&gt;=40",K15:K23)</f>
        <v>112</v>
      </c>
    </row>
    <row r="25" spans="1:11" x14ac:dyDescent="0.3">
      <c r="A25" s="141"/>
      <c r="B25" s="142"/>
      <c r="C25" s="142"/>
      <c r="D25" s="143"/>
      <c r="E25" s="145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6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37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workbookViewId="0"/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83"/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0">B4*3+C4*1</f>
        <v>36</v>
      </c>
      <c r="F4" s="83"/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0"/>
        <v>81</v>
      </c>
      <c r="F5" s="83"/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0"/>
        <v>54</v>
      </c>
      <c r="F6" s="83"/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0"/>
        <v>40</v>
      </c>
      <c r="F7" s="83"/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0"/>
        <v>51</v>
      </c>
      <c r="F8" s="83"/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0"/>
        <v>40</v>
      </c>
      <c r="F9" s="83"/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0"/>
        <v>60</v>
      </c>
      <c r="F10" s="83"/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0"/>
        <v>50</v>
      </c>
      <c r="F11" s="83"/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0"/>
        <v>34</v>
      </c>
      <c r="F12" s="83"/>
      <c r="G12" s="7"/>
      <c r="H12" s="130" t="s">
        <v>506</v>
      </c>
      <c r="I12" s="131"/>
      <c r="J12" s="131"/>
      <c r="K12" s="132"/>
      <c r="L12" s="85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/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/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/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/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/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/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/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/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6" t="s">
        <v>558</v>
      </c>
      <c r="B34" s="146"/>
      <c r="C34" s="86"/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7" t="s">
        <v>560</v>
      </c>
      <c r="I36" s="148"/>
      <c r="J36" s="83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30" t="s">
        <v>506</v>
      </c>
      <c r="I12" s="131"/>
      <c r="J12" s="131"/>
      <c r="K12" s="132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6" t="s">
        <v>558</v>
      </c>
      <c r="B34" s="146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47" t="s">
        <v>560</v>
      </c>
      <c r="I36" s="148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49" t="s">
        <v>582</v>
      </c>
      <c r="L5" s="149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49" t="s">
        <v>582</v>
      </c>
      <c r="L5" s="149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0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1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0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51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49" t="s">
        <v>776</v>
      </c>
      <c r="M14" s="149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49" t="s">
        <v>776</v>
      </c>
      <c r="M14" s="149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261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232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143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325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204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238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330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301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9"/>
  <sheetViews>
    <sheetView topLeftCell="A19" zoomScale="130" zoomScaleNormal="130" workbookViewId="0">
      <selection activeCell="J27" sqref="J27:J33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 t="str">
        <f>PROPER(D3)&amp;"("&amp;UPPER(C3)&amp;")"</f>
        <v>Kimkh(EAGLES)</v>
      </c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20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20" t="str">
        <f t="shared" si="0"/>
        <v>Parkjm(LIONS)</v>
      </c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20" t="str">
        <f t="shared" si="0"/>
        <v>Kimjk(BEARS)</v>
      </c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20" t="str">
        <f t="shared" si="0"/>
        <v>Yoonbw(KTWIZ)</v>
      </c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20" t="str">
        <f t="shared" si="0"/>
        <v>Ohsh(TIGERS)</v>
      </c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20" t="str">
        <f t="shared" si="0"/>
        <v>Songhm(TWINS)</v>
      </c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20" t="str">
        <f t="shared" si="0"/>
        <v>Jangjb(DINOS)</v>
      </c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20" t="str">
        <f t="shared" si="0"/>
        <v>Haneh(GIANTS)</v>
      </c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20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21" t="str">
        <f t="shared" ref="J28:J33" si="1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21" t="str">
        <f t="shared" si="1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21" t="str">
        <f t="shared" si="1"/>
        <v>PSY-725-KR</v>
      </c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21" t="str">
        <f t="shared" si="1"/>
        <v>NOV-264-KR</v>
      </c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21" t="str">
        <f t="shared" si="1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21" t="str">
        <f t="shared" si="1"/>
        <v>LAN-184-KR</v>
      </c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23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  <row r="53" spans="2:7" x14ac:dyDescent="0.3">
      <c r="B53" s="32">
        <f>FIND("a",B42)</f>
        <v>12</v>
      </c>
      <c r="C53" s="32" t="s">
        <v>1216</v>
      </c>
      <c r="E53" s="32" t="s">
        <v>1217</v>
      </c>
    </row>
    <row r="54" spans="2:7" x14ac:dyDescent="0.3">
      <c r="B54" s="32" t="e">
        <f>FIND("w",B42)</f>
        <v>#VALUE!</v>
      </c>
      <c r="C54" s="32" t="s">
        <v>1218</v>
      </c>
    </row>
    <row r="55" spans="2:7" x14ac:dyDescent="0.3">
      <c r="B55" s="32">
        <f>FIND("a",B42,13)</f>
        <v>14</v>
      </c>
      <c r="C55" s="32" t="s">
        <v>1219</v>
      </c>
      <c r="G55" s="32" t="s">
        <v>1220</v>
      </c>
    </row>
    <row r="56" spans="2:7" x14ac:dyDescent="0.3">
      <c r="B56" s="32" t="e">
        <f>FIND("a",B42,15)</f>
        <v>#VALUE!</v>
      </c>
    </row>
    <row r="57" spans="2:7" x14ac:dyDescent="0.3">
      <c r="B57" s="32" t="e">
        <f>FIND("A",B42)</f>
        <v>#VALUE!</v>
      </c>
      <c r="C57" s="32" t="s">
        <v>1221</v>
      </c>
    </row>
    <row r="59" spans="2:7" x14ac:dyDescent="0.3">
      <c r="B59" s="32">
        <f>SEARCH("A",B42)</f>
        <v>12</v>
      </c>
      <c r="C59" s="32" t="s">
        <v>1222</v>
      </c>
      <c r="E59" s="32" t="s">
        <v>1223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60"/>
  <sheetViews>
    <sheetView tabSelected="1" topLeftCell="A22" zoomScale="130" zoomScaleNormal="130" workbookViewId="0">
      <selection activeCell="K25" sqref="K25"/>
    </sheetView>
  </sheetViews>
  <sheetFormatPr defaultRowHeight="16.5" x14ac:dyDescent="0.3"/>
  <cols>
    <col min="4" max="4" width="11" bestFit="1" customWidth="1"/>
    <col min="6" max="6" width="1.625" customWidth="1"/>
    <col min="9" max="9" width="27.25" customWidth="1"/>
    <col min="10" max="10" width="10.875" bestFit="1" customWidth="1"/>
    <col min="11" max="11" width="15.5" customWidth="1"/>
    <col min="12" max="12" width="41.25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120" t="str">
        <f t="shared" ref="K4:K11" si="0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120" t="str">
        <f t="shared" si="0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120" t="str">
        <f t="shared" si="0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120" t="str">
        <f t="shared" si="0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120" t="str">
        <f t="shared" si="0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65</v>
      </c>
      <c r="I9" s="2">
        <v>79</v>
      </c>
      <c r="J9" s="2">
        <v>83</v>
      </c>
      <c r="K9" s="120" t="str">
        <f t="shared" si="0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120" t="str">
        <f t="shared" si="0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120" t="str">
        <f t="shared" si="0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0" t="str">
        <f t="shared" ref="E16:E23" si="1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2">H16*I16</f>
        <v>2219500</v>
      </c>
      <c r="K16" s="2"/>
    </row>
    <row r="17" spans="1:12" x14ac:dyDescent="0.3">
      <c r="A17" s="2" t="s">
        <v>1031</v>
      </c>
      <c r="B17" s="2">
        <v>93</v>
      </c>
      <c r="C17" s="2">
        <v>75</v>
      </c>
      <c r="D17" s="2">
        <v>91</v>
      </c>
      <c r="E17" s="120" t="str">
        <f t="shared" si="1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2"/>
        <v>1691500</v>
      </c>
      <c r="K17" s="2"/>
    </row>
    <row r="18" spans="1:12" x14ac:dyDescent="0.3">
      <c r="A18" s="2" t="s">
        <v>1033</v>
      </c>
      <c r="B18" s="2">
        <v>82</v>
      </c>
      <c r="C18" s="2">
        <v>89</v>
      </c>
      <c r="D18" s="2">
        <v>47</v>
      </c>
      <c r="E18" s="120" t="str">
        <f t="shared" si="1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2"/>
        <v>1812500</v>
      </c>
      <c r="K18" s="2"/>
    </row>
    <row r="19" spans="1:12" x14ac:dyDescent="0.3">
      <c r="A19" s="2" t="s">
        <v>1035</v>
      </c>
      <c r="B19" s="2">
        <v>57</v>
      </c>
      <c r="C19" s="2">
        <v>94</v>
      </c>
      <c r="D19" s="2">
        <v>85</v>
      </c>
      <c r="E19" s="120" t="str">
        <f t="shared" si="1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2"/>
        <v>1462500</v>
      </c>
      <c r="K19" s="2"/>
    </row>
    <row r="20" spans="1:12" x14ac:dyDescent="0.3">
      <c r="A20" s="2" t="s">
        <v>1037</v>
      </c>
      <c r="B20" s="2">
        <v>69</v>
      </c>
      <c r="C20" s="2">
        <v>88</v>
      </c>
      <c r="D20" s="2">
        <v>77</v>
      </c>
      <c r="E20" s="120" t="str">
        <f t="shared" si="1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2"/>
        <v>1880000</v>
      </c>
      <c r="K20" s="2"/>
    </row>
    <row r="21" spans="1:12" x14ac:dyDescent="0.3">
      <c r="A21" s="2" t="s">
        <v>1039</v>
      </c>
      <c r="B21" s="2">
        <v>79</v>
      </c>
      <c r="C21" s="2">
        <v>86</v>
      </c>
      <c r="D21" s="2">
        <v>96</v>
      </c>
      <c r="E21" s="120" t="str">
        <f t="shared" si="1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2"/>
        <v>1586500</v>
      </c>
      <c r="K21" s="2"/>
    </row>
    <row r="22" spans="1:12" x14ac:dyDescent="0.3">
      <c r="A22" s="2" t="s">
        <v>1041</v>
      </c>
      <c r="B22" s="2">
        <v>86</v>
      </c>
      <c r="C22" s="2">
        <v>96</v>
      </c>
      <c r="D22" s="2">
        <v>68</v>
      </c>
      <c r="E22" s="120" t="str">
        <f t="shared" si="1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2"/>
        <v>852500</v>
      </c>
      <c r="K22" s="2"/>
    </row>
    <row r="23" spans="1:12" x14ac:dyDescent="0.3">
      <c r="A23" s="2" t="s">
        <v>1043</v>
      </c>
      <c r="B23" s="2">
        <v>72</v>
      </c>
      <c r="C23" s="2">
        <v>88</v>
      </c>
      <c r="D23" s="2">
        <v>52</v>
      </c>
      <c r="E23" s="120" t="str">
        <f t="shared" si="1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2"/>
        <v>1344000</v>
      </c>
      <c r="K23" s="2"/>
    </row>
    <row r="26" spans="1:12" x14ac:dyDescent="0.3">
      <c r="H26" t="str">
        <f>IF(TRUE,"참이지롱","거짓부렁")</f>
        <v>참이지롱</v>
      </c>
      <c r="I26" t="s">
        <v>1224</v>
      </c>
    </row>
    <row r="27" spans="1:12" ht="33" x14ac:dyDescent="0.3">
      <c r="I27" t="s">
        <v>1225</v>
      </c>
      <c r="L27" s="152" t="s">
        <v>1226</v>
      </c>
    </row>
    <row r="28" spans="1:12" x14ac:dyDescent="0.3">
      <c r="G28" t="s">
        <v>1227</v>
      </c>
      <c r="H28">
        <v>39</v>
      </c>
    </row>
    <row r="29" spans="1:12" x14ac:dyDescent="0.3">
      <c r="H29" t="str">
        <f>IF(H28&gt;=80,"합격","불합격")</f>
        <v>불합격</v>
      </c>
      <c r="I29" t="s">
        <v>1228</v>
      </c>
    </row>
    <row r="30" spans="1:12" ht="39" customHeight="1" x14ac:dyDescent="0.3">
      <c r="I30" s="152" t="s">
        <v>1229</v>
      </c>
    </row>
    <row r="31" spans="1:12" x14ac:dyDescent="0.3">
      <c r="H31" t="str">
        <f>IF(H28&gt;=80,"우수",IF(H28&gt;=60,"양호",IF(H28&gt;=40,"정상","미달")))</f>
        <v>미달</v>
      </c>
      <c r="I31" t="s">
        <v>1230</v>
      </c>
    </row>
    <row r="33" spans="8:10" x14ac:dyDescent="0.3">
      <c r="H33" t="b">
        <f>AND(TRUE,TRUE,TRUE)</f>
        <v>1</v>
      </c>
      <c r="I33" t="s">
        <v>1231</v>
      </c>
      <c r="J33" t="s">
        <v>1234</v>
      </c>
    </row>
    <row r="34" spans="8:10" x14ac:dyDescent="0.3">
      <c r="H34" t="b">
        <f>AND(TRUE,FALSE,TRUE)</f>
        <v>0</v>
      </c>
      <c r="I34" t="s">
        <v>1232</v>
      </c>
    </row>
    <row r="35" spans="8:10" x14ac:dyDescent="0.3">
      <c r="H35" t="b">
        <f>AND(FALSE,FALSE,FALSE)</f>
        <v>0</v>
      </c>
      <c r="I35" t="s">
        <v>1233</v>
      </c>
    </row>
    <row r="37" spans="8:10" x14ac:dyDescent="0.3">
      <c r="H37" t="b">
        <f>AND(10,123)</f>
        <v>1</v>
      </c>
      <c r="I37" t="s">
        <v>1235</v>
      </c>
      <c r="J37" t="s">
        <v>1236</v>
      </c>
    </row>
    <row r="38" spans="8:10" x14ac:dyDescent="0.3">
      <c r="H38" t="b">
        <f>AND(10,123,0)</f>
        <v>0</v>
      </c>
    </row>
    <row r="39" spans="8:10" x14ac:dyDescent="0.3">
      <c r="H39" t="b">
        <f>AND(10,123,-1345,-0.123)</f>
        <v>1</v>
      </c>
      <c r="I39" t="s">
        <v>1237</v>
      </c>
    </row>
    <row r="41" spans="8:10" x14ac:dyDescent="0.3">
      <c r="H41" t="b">
        <f>OR(TRUE,TRUE,TRUE)</f>
        <v>1</v>
      </c>
      <c r="I41" t="s">
        <v>1238</v>
      </c>
      <c r="J41" t="s">
        <v>1241</v>
      </c>
    </row>
    <row r="42" spans="8:10" x14ac:dyDescent="0.3">
      <c r="H42" t="b">
        <f>OR(TRUE,TRUE,FALSE)</f>
        <v>1</v>
      </c>
      <c r="I42" t="s">
        <v>1239</v>
      </c>
    </row>
    <row r="43" spans="8:10" x14ac:dyDescent="0.3">
      <c r="H43" t="b">
        <f>OR(FALSE,FALSE,FALSE)</f>
        <v>0</v>
      </c>
      <c r="I43" t="s">
        <v>1240</v>
      </c>
    </row>
    <row r="45" spans="8:10" x14ac:dyDescent="0.3">
      <c r="H45" t="b">
        <f>NOT(TRUE)</f>
        <v>0</v>
      </c>
      <c r="I45" t="s">
        <v>1242</v>
      </c>
      <c r="J45" t="s">
        <v>1244</v>
      </c>
    </row>
    <row r="46" spans="8:10" x14ac:dyDescent="0.3">
      <c r="H46" t="b">
        <f>NOT(FALSE)</f>
        <v>1</v>
      </c>
      <c r="I46" t="s">
        <v>1243</v>
      </c>
    </row>
    <row r="48" spans="8:10" x14ac:dyDescent="0.3">
      <c r="H48">
        <f>10/5</f>
        <v>2</v>
      </c>
      <c r="I48" s="153" t="s">
        <v>1245</v>
      </c>
    </row>
    <row r="49" spans="7:12" x14ac:dyDescent="0.3">
      <c r="H49" t="e">
        <f>10/0</f>
        <v>#DIV/0!</v>
      </c>
      <c r="I49" s="122" t="s">
        <v>1246</v>
      </c>
    </row>
    <row r="50" spans="7:12" x14ac:dyDescent="0.3">
      <c r="H50">
        <f>IFERROR(10/5,"오류")</f>
        <v>2</v>
      </c>
      <c r="J50" t="s">
        <v>1247</v>
      </c>
    </row>
    <row r="51" spans="7:12" x14ac:dyDescent="0.3">
      <c r="H51" t="str">
        <f>IFERROR(10/0,"오류")</f>
        <v>오류</v>
      </c>
    </row>
    <row r="54" spans="7:12" x14ac:dyDescent="0.3">
      <c r="G54" t="s">
        <v>1227</v>
      </c>
      <c r="H54">
        <v>32</v>
      </c>
    </row>
    <row r="55" spans="7:12" x14ac:dyDescent="0.3">
      <c r="H55" t="str" cm="1">
        <f t="array" ref="H55">_xlfn.IFS(H54&gt;=80,"우수",H54&gt;=60,"양호",H54&gt;=40,"정상",H54&lt;40,"미달")</f>
        <v>미달</v>
      </c>
      <c r="I55" t="s">
        <v>1248</v>
      </c>
    </row>
    <row r="56" spans="7:12" x14ac:dyDescent="0.3">
      <c r="I56" t="s">
        <v>1249</v>
      </c>
      <c r="K56" t="s">
        <v>1250</v>
      </c>
    </row>
    <row r="58" spans="7:12" x14ac:dyDescent="0.3">
      <c r="H58">
        <v>20</v>
      </c>
    </row>
    <row r="59" spans="7:12" x14ac:dyDescent="0.3">
      <c r="H59" t="str" cm="1">
        <f t="array" ref="H59">_xlfn.SWITCH(H58,0,"짜장면",10,"돈가스",20,"제육",30,"국밥","김치찌개")</f>
        <v>제육</v>
      </c>
      <c r="I59" t="s">
        <v>1251</v>
      </c>
    </row>
    <row r="60" spans="7:12" x14ac:dyDescent="0.3">
      <c r="I60" t="s">
        <v>1252</v>
      </c>
      <c r="L60" t="s">
        <v>1253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수식</vt:lpstr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2026-09-02T12:52:02Z</dcterms:modified>
</cp:coreProperties>
</file>