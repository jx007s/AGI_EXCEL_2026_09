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D4F5EF61-B04A-41D1-8CF7-0C3DBB79BFC5}" xr6:coauthVersionLast="47" xr6:coauthVersionMax="47" xr10:uidLastSave="{00000000-0000-0000-0000-000000000000}"/>
  <bookViews>
    <workbookView xWindow="22932" yWindow="-108" windowWidth="23256" windowHeight="12576" tabRatio="890" firstSheet="10" activeTab="23" xr2:uid="{00000000-000D-0000-FFFF-FFFF00000000}"/>
  </bookViews>
  <sheets>
    <sheet name="수식" sheetId="28" r:id="rId1"/>
    <sheet name="계산" sheetId="14" r:id="rId2"/>
    <sheet name="계산(결과)" sheetId="1" r:id="rId3"/>
    <sheet name="데이터함수" sheetId="30" r:id="rId4"/>
    <sheet name="데이터베이스" sheetId="15" r:id="rId5"/>
    <sheet name="데이터베이스(결과)" sheetId="2" r:id="rId6"/>
    <sheet name="수학삼각함수" sheetId="29" r:id="rId7"/>
    <sheet name="수학삼각1" sheetId="16" r:id="rId8"/>
    <sheet name="수학삼각1(결과)" sheetId="3" r:id="rId9"/>
    <sheet name="수학삼각2" sheetId="17" r:id="rId10"/>
    <sheet name="수학삼각2(결과)" sheetId="4" r:id="rId11"/>
    <sheet name="통계1" sheetId="18" r:id="rId12"/>
    <sheet name="통계1(결과)" sheetId="5" r:id="rId13"/>
    <sheet name="통계2" sheetId="19" r:id="rId14"/>
    <sheet name="통계2(결과)" sheetId="6" r:id="rId15"/>
    <sheet name="찾기참조함수" sheetId="31" r:id="rId16"/>
    <sheet name="찾기참조1" sheetId="20" r:id="rId17"/>
    <sheet name="찾기참조1(결과)" sheetId="7" r:id="rId18"/>
    <sheet name="찾기참조2" sheetId="8" r:id="rId19"/>
    <sheet name="찾기참조2(결과)" sheetId="21" r:id="rId20"/>
    <sheet name="날짜시간함수" sheetId="32" r:id="rId21"/>
    <sheet name="날짜1" sheetId="9" r:id="rId22"/>
    <sheet name="날짜1(결과)" sheetId="22" r:id="rId23"/>
    <sheet name="날짜2" sheetId="23" r:id="rId24"/>
    <sheet name="날짜2(결과)" sheetId="10" r:id="rId25"/>
    <sheet name="텍스트" sheetId="11" r:id="rId26"/>
    <sheet name="텍스트(결과)" sheetId="24" r:id="rId27"/>
    <sheet name="논리1" sheetId="12" r:id="rId28"/>
    <sheet name="논리1(결과)" sheetId="25" r:id="rId29"/>
    <sheet name="논리2" sheetId="13" r:id="rId30"/>
    <sheet name="논리2(결과)" sheetId="27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4" i="23" l="1"/>
  <c r="I15" i="23"/>
  <c r="I16" i="23"/>
  <c r="I17" i="23"/>
  <c r="I13" i="23"/>
  <c r="C14" i="23"/>
  <c r="C15" i="23"/>
  <c r="C16" i="23"/>
  <c r="C17" i="23"/>
  <c r="C18" i="23"/>
  <c r="C19" i="23"/>
  <c r="C20" i="23"/>
  <c r="C13" i="23"/>
  <c r="I4" i="23"/>
  <c r="I5" i="23"/>
  <c r="I6" i="23"/>
  <c r="I7" i="23"/>
  <c r="I8" i="23"/>
  <c r="I9" i="23"/>
  <c r="I3" i="23"/>
  <c r="I21" i="23"/>
  <c r="I22" i="23"/>
  <c r="I23" i="23"/>
  <c r="I24" i="23"/>
  <c r="I25" i="23"/>
  <c r="I26" i="23"/>
  <c r="M21" i="23"/>
  <c r="N21" i="23"/>
  <c r="P22" i="23"/>
  <c r="P23" i="23"/>
  <c r="P24" i="23"/>
  <c r="P25" i="23"/>
  <c r="P26" i="23"/>
  <c r="O22" i="23"/>
  <c r="O23" i="23"/>
  <c r="O24" i="23"/>
  <c r="O25" i="23"/>
  <c r="O26" i="23"/>
  <c r="N22" i="23"/>
  <c r="N23" i="23"/>
  <c r="N24" i="23"/>
  <c r="N25" i="23"/>
  <c r="N26" i="23"/>
  <c r="M22" i="23"/>
  <c r="M23" i="23"/>
  <c r="M24" i="23"/>
  <c r="M25" i="23"/>
  <c r="M26" i="23"/>
  <c r="L21" i="23"/>
  <c r="K21" i="23"/>
  <c r="L22" i="23"/>
  <c r="L23" i="23"/>
  <c r="L24" i="23"/>
  <c r="L25" i="23"/>
  <c r="L26" i="23"/>
  <c r="K22" i="23"/>
  <c r="K23" i="23"/>
  <c r="K24" i="23"/>
  <c r="K25" i="23"/>
  <c r="K26" i="23"/>
  <c r="D4" i="23"/>
  <c r="D5" i="23"/>
  <c r="D6" i="23"/>
  <c r="D7" i="23"/>
  <c r="D8" i="23"/>
  <c r="D9" i="23"/>
  <c r="D3" i="23"/>
  <c r="J16" i="9"/>
  <c r="J17" i="9"/>
  <c r="J18" i="9"/>
  <c r="J19" i="9"/>
  <c r="J20" i="9"/>
  <c r="J21" i="9"/>
  <c r="J22" i="9"/>
  <c r="J23" i="9"/>
  <c r="J24" i="9"/>
  <c r="J15" i="9"/>
  <c r="J3" i="9"/>
  <c r="J4" i="9"/>
  <c r="J5" i="9"/>
  <c r="J6" i="9"/>
  <c r="J7" i="9"/>
  <c r="J8" i="9"/>
  <c r="J9" i="9"/>
  <c r="J10" i="9"/>
  <c r="J11" i="9"/>
  <c r="D16" i="9"/>
  <c r="D17" i="9"/>
  <c r="D18" i="9"/>
  <c r="D19" i="9"/>
  <c r="D20" i="9"/>
  <c r="D21" i="9"/>
  <c r="D22" i="9"/>
  <c r="D23" i="9"/>
  <c r="D24" i="9"/>
  <c r="D15" i="9"/>
  <c r="D3" i="9"/>
  <c r="D4" i="9"/>
  <c r="D5" i="9"/>
  <c r="D6" i="9"/>
  <c r="D7" i="9"/>
  <c r="D8" i="9"/>
  <c r="D9" i="9"/>
  <c r="D10" i="9"/>
  <c r="D11" i="9"/>
  <c r="D27" i="32"/>
  <c r="C27" i="32"/>
  <c r="D26" i="32"/>
  <c r="C26" i="32"/>
  <c r="D24" i="32"/>
  <c r="C24" i="32"/>
  <c r="C22" i="32"/>
  <c r="C21" i="32"/>
  <c r="C19" i="32"/>
  <c r="C17" i="32"/>
  <c r="C18" i="32"/>
  <c r="C16" i="32"/>
  <c r="C15" i="32"/>
  <c r="C14" i="32"/>
  <c r="C13" i="32"/>
  <c r="C12" i="32"/>
  <c r="C11" i="32"/>
  <c r="C9" i="32"/>
  <c r="C8" i="32"/>
  <c r="C7" i="32"/>
  <c r="C6" i="32"/>
  <c r="C5" i="32"/>
  <c r="D2" i="32"/>
  <c r="D3" i="32"/>
  <c r="C3" i="32"/>
  <c r="C2" i="32"/>
  <c r="C17" i="8"/>
  <c r="D17" i="8"/>
  <c r="B17" i="8"/>
  <c r="A19" i="8"/>
  <c r="A20" i="8"/>
  <c r="A21" i="8"/>
  <c r="A22" i="8"/>
  <c r="A23" i="8"/>
  <c r="A24" i="8"/>
  <c r="A25" i="8"/>
  <c r="A26" i="8"/>
  <c r="A27" i="8"/>
  <c r="A18" i="8"/>
  <c r="D4" i="8"/>
  <c r="D5" i="8"/>
  <c r="D6" i="8"/>
  <c r="D7" i="8"/>
  <c r="D8" i="8"/>
  <c r="D9" i="8"/>
  <c r="D10" i="8"/>
  <c r="D3" i="8"/>
  <c r="H28" i="8" a="1"/>
  <c r="H28" i="8" s="1"/>
  <c r="I3" i="8"/>
  <c r="I4" i="8"/>
  <c r="I5" i="8"/>
  <c r="I6" i="8"/>
  <c r="I7" i="8"/>
  <c r="I8" i="8"/>
  <c r="I9" i="8"/>
  <c r="J15" i="20"/>
  <c r="J16" i="20"/>
  <c r="J17" i="20"/>
  <c r="J18" i="20"/>
  <c r="J19" i="20"/>
  <c r="J20" i="20"/>
  <c r="J21" i="20"/>
  <c r="J22" i="20"/>
  <c r="J14" i="20"/>
  <c r="I4" i="20"/>
  <c r="I5" i="20"/>
  <c r="I6" i="20"/>
  <c r="I7" i="20"/>
  <c r="I8" i="20"/>
  <c r="I9" i="20"/>
  <c r="I10" i="20"/>
  <c r="I3" i="20"/>
  <c r="D15" i="20"/>
  <c r="D16" i="20"/>
  <c r="D17" i="20"/>
  <c r="D18" i="20"/>
  <c r="D19" i="20"/>
  <c r="D20" i="20"/>
  <c r="D21" i="20"/>
  <c r="D22" i="20"/>
  <c r="D14" i="20"/>
  <c r="D4" i="20"/>
  <c r="D5" i="20"/>
  <c r="D6" i="20"/>
  <c r="D7" i="20"/>
  <c r="D8" i="20"/>
  <c r="D9" i="20"/>
  <c r="D10" i="20"/>
  <c r="D3" i="20"/>
  <c r="D44" i="31"/>
  <c r="D43" i="31"/>
  <c r="D42" i="31"/>
  <c r="D41" i="31"/>
  <c r="D40" i="31"/>
  <c r="B27" i="31"/>
  <c r="H38" i="31"/>
  <c r="H37" i="31"/>
  <c r="H35" i="31"/>
  <c r="H34" i="31"/>
  <c r="H32" i="31"/>
  <c r="H31" i="31"/>
  <c r="H29" i="31"/>
  <c r="H28" i="31"/>
  <c r="H25" i="31"/>
  <c r="H22" i="31"/>
  <c r="I19" i="31"/>
  <c r="J19" i="31"/>
  <c r="H11" i="31"/>
  <c r="H10" i="31"/>
  <c r="H4" i="31"/>
  <c r="L40" i="15"/>
  <c r="M25" i="15"/>
  <c r="L11" i="15"/>
  <c r="D39" i="15"/>
  <c r="E25" i="15"/>
  <c r="E11" i="15"/>
  <c r="J10" i="30"/>
  <c r="J9" i="30"/>
  <c r="J8" i="30"/>
  <c r="J7" i="30"/>
  <c r="J6" i="30"/>
  <c r="J5" i="30"/>
  <c r="J4" i="30"/>
  <c r="J2" i="30"/>
  <c r="E11" i="30"/>
  <c r="E10" i="30"/>
  <c r="D10" i="30"/>
  <c r="E9" i="30"/>
  <c r="D9" i="30"/>
  <c r="E8" i="30"/>
  <c r="E7" i="30"/>
  <c r="E6" i="30"/>
  <c r="D6" i="30"/>
  <c r="E5" i="30"/>
  <c r="D5" i="30"/>
  <c r="E4" i="30"/>
  <c r="D4" i="30"/>
  <c r="K6" i="30" s="1"/>
  <c r="E3" i="30"/>
  <c r="D3" i="30"/>
  <c r="C34" i="19"/>
  <c r="F11" i="19"/>
  <c r="F12" i="19"/>
  <c r="F3" i="19"/>
  <c r="F4" i="19"/>
  <c r="F5" i="19"/>
  <c r="F6" i="19"/>
  <c r="F7" i="19"/>
  <c r="F8" i="19"/>
  <c r="F9" i="19"/>
  <c r="F10" i="19"/>
  <c r="K16" i="19"/>
  <c r="J36" i="19"/>
  <c r="K17" i="19"/>
  <c r="K18" i="19"/>
  <c r="K19" i="19"/>
  <c r="K20" i="19"/>
  <c r="K21" i="19"/>
  <c r="K22" i="19"/>
  <c r="K23" i="19"/>
  <c r="K24" i="19"/>
  <c r="L12" i="19"/>
  <c r="J29" i="18"/>
  <c r="K24" i="18"/>
  <c r="J11" i="18"/>
  <c r="E30" i="18"/>
  <c r="E24" i="18"/>
  <c r="D11" i="18"/>
  <c r="J16" i="17"/>
  <c r="J17" i="17"/>
  <c r="J18" i="17"/>
  <c r="J19" i="17"/>
  <c r="J20" i="17"/>
  <c r="J15" i="17"/>
  <c r="E16" i="17"/>
  <c r="E17" i="17"/>
  <c r="E18" i="17"/>
  <c r="E19" i="17"/>
  <c r="E20" i="17"/>
  <c r="E15" i="17"/>
  <c r="J3" i="17"/>
  <c r="J4" i="17"/>
  <c r="J5" i="17"/>
  <c r="J6" i="17"/>
  <c r="J7" i="17"/>
  <c r="J8" i="17"/>
  <c r="J9" i="17"/>
  <c r="J10" i="17"/>
  <c r="J11" i="17"/>
  <c r="K3" i="17"/>
  <c r="K4" i="17"/>
  <c r="K5" i="17"/>
  <c r="K6" i="17"/>
  <c r="K7" i="17"/>
  <c r="K8" i="17"/>
  <c r="K9" i="17"/>
  <c r="K10" i="17"/>
  <c r="K11" i="17"/>
  <c r="L25" i="16"/>
  <c r="E4" i="16"/>
  <c r="E5" i="16"/>
  <c r="E6" i="16"/>
  <c r="E7" i="16"/>
  <c r="E8" i="16"/>
  <c r="E9" i="16"/>
  <c r="E10" i="16"/>
  <c r="E11" i="16"/>
  <c r="E12" i="16"/>
  <c r="E3" i="16"/>
  <c r="E25" i="16"/>
  <c r="B27" i="16"/>
  <c r="K12" i="16"/>
  <c r="C37" i="29"/>
  <c r="C36" i="29"/>
  <c r="C35" i="29"/>
  <c r="C18" i="29"/>
  <c r="C17" i="29"/>
  <c r="C24" i="29"/>
  <c r="C23" i="29"/>
  <c r="C22" i="29"/>
  <c r="L29" i="29"/>
  <c r="L30" i="29"/>
  <c r="L31" i="29"/>
  <c r="L28" i="29"/>
  <c r="K29" i="29"/>
  <c r="K30" i="29"/>
  <c r="K31" i="29"/>
  <c r="K28" i="29"/>
  <c r="J29" i="29"/>
  <c r="J30" i="29"/>
  <c r="J31" i="29"/>
  <c r="J28" i="29"/>
  <c r="I29" i="29"/>
  <c r="I30" i="29"/>
  <c r="I31" i="29"/>
  <c r="I28" i="29"/>
  <c r="I24" i="29"/>
  <c r="I23" i="29"/>
  <c r="I22" i="29"/>
  <c r="C20" i="29"/>
  <c r="C16" i="29"/>
  <c r="C15" i="29"/>
  <c r="E6" i="29"/>
  <c r="E7" i="29"/>
  <c r="E8" i="29"/>
  <c r="E9" i="29"/>
  <c r="E10" i="29"/>
  <c r="E11" i="29"/>
  <c r="E12" i="29"/>
  <c r="E13" i="29"/>
  <c r="E5" i="29"/>
  <c r="D12" i="29"/>
  <c r="D11" i="29"/>
  <c r="D6" i="29"/>
  <c r="D7" i="29"/>
  <c r="D8" i="29"/>
  <c r="D5" i="29"/>
  <c r="I2" i="29"/>
  <c r="E16" i="12"/>
  <c r="E17" i="12"/>
  <c r="E18" i="12"/>
  <c r="E19" i="12"/>
  <c r="E20" i="12"/>
  <c r="E21" i="12"/>
  <c r="E22" i="12"/>
  <c r="E23" i="12"/>
  <c r="E15" i="12"/>
  <c r="K4" i="12"/>
  <c r="K5" i="12"/>
  <c r="K6" i="12"/>
  <c r="K7" i="12"/>
  <c r="K8" i="12"/>
  <c r="K9" i="12"/>
  <c r="K10" i="12"/>
  <c r="K11" i="12"/>
  <c r="K3" i="12"/>
  <c r="H59" i="12" a="1"/>
  <c r="H59" i="12" s="1"/>
  <c r="H55" i="12" a="1"/>
  <c r="H55" i="12" s="1"/>
  <c r="H51" i="12"/>
  <c r="H50" i="12"/>
  <c r="H49" i="12"/>
  <c r="H48" i="12"/>
  <c r="H46" i="12"/>
  <c r="H45" i="12"/>
  <c r="H43" i="12"/>
  <c r="H42" i="12"/>
  <c r="H41" i="12"/>
  <c r="H39" i="12"/>
  <c r="H38" i="12"/>
  <c r="H37" i="12"/>
  <c r="H35" i="12"/>
  <c r="H34" i="12"/>
  <c r="H33" i="12"/>
  <c r="H31" i="12"/>
  <c r="H29" i="12"/>
  <c r="H26" i="12"/>
  <c r="J28" i="11"/>
  <c r="J29" i="11"/>
  <c r="J30" i="11"/>
  <c r="J31" i="11"/>
  <c r="J32" i="11"/>
  <c r="J33" i="11"/>
  <c r="J27" i="11"/>
  <c r="E3" i="11"/>
  <c r="E4" i="11"/>
  <c r="E5" i="11"/>
  <c r="E6" i="11"/>
  <c r="E7" i="11"/>
  <c r="E8" i="11"/>
  <c r="E9" i="11"/>
  <c r="E10" i="11"/>
  <c r="E11" i="11"/>
  <c r="E12" i="11"/>
  <c r="B59" i="11"/>
  <c r="B57" i="11"/>
  <c r="B56" i="11"/>
  <c r="B55" i="11"/>
  <c r="B54" i="11"/>
  <c r="B53" i="11"/>
  <c r="B51" i="11"/>
  <c r="B50" i="11"/>
  <c r="B49" i="11"/>
  <c r="B48" i="11"/>
  <c r="B45" i="11"/>
  <c r="B44" i="11"/>
  <c r="B43" i="11"/>
  <c r="B40" i="11"/>
  <c r="B39" i="11"/>
  <c r="B38" i="11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D3" i="14"/>
  <c r="B2" i="28"/>
  <c r="G5" i="28"/>
  <c r="H5" i="28"/>
  <c r="B6" i="28"/>
  <c r="C6" i="28"/>
  <c r="D6" i="28"/>
  <c r="E6" i="28"/>
  <c r="B10" i="28"/>
  <c r="C10" i="28"/>
  <c r="E10" i="28"/>
  <c r="B13" i="28"/>
  <c r="B14" i="28"/>
  <c r="B15" i="28"/>
  <c r="B16" i="28"/>
  <c r="B17" i="28"/>
  <c r="B18" i="28"/>
  <c r="G20" i="28"/>
  <c r="H20" i="28"/>
  <c r="G21" i="28"/>
  <c r="H21" i="28"/>
  <c r="G22" i="28"/>
  <c r="H22" i="28"/>
  <c r="G23" i="28"/>
  <c r="H23" i="28"/>
  <c r="G24" i="28"/>
  <c r="H24" i="28"/>
  <c r="G25" i="28"/>
  <c r="H25" i="28"/>
  <c r="G28" i="28"/>
  <c r="H28" i="28"/>
  <c r="I28" i="28"/>
  <c r="G29" i="28"/>
  <c r="H29" i="28"/>
  <c r="I29" i="28"/>
  <c r="G30" i="28"/>
  <c r="H30" i="28"/>
  <c r="I30" i="28"/>
  <c r="G31" i="28"/>
  <c r="H31" i="28"/>
  <c r="I31" i="28"/>
  <c r="G32" i="28"/>
  <c r="H32" i="28"/>
  <c r="I32" i="28"/>
  <c r="G33" i="28"/>
  <c r="H33" i="28"/>
  <c r="I33" i="28"/>
  <c r="G36" i="28"/>
  <c r="H36" i="28"/>
  <c r="I36" i="28"/>
  <c r="G37" i="28"/>
  <c r="H37" i="28"/>
  <c r="I37" i="28"/>
  <c r="G38" i="28"/>
  <c r="H38" i="28"/>
  <c r="I38" i="28"/>
  <c r="G39" i="28"/>
  <c r="H39" i="28"/>
  <c r="I39" i="28"/>
  <c r="G40" i="28"/>
  <c r="H40" i="28"/>
  <c r="I40" i="28"/>
  <c r="G41" i="28"/>
  <c r="H41" i="28"/>
  <c r="I41" i="28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O21" i="23" l="1"/>
  <c r="P21" i="23" s="1"/>
  <c r="D23" i="29"/>
  <c r="E23" i="29"/>
  <c r="K5" i="30"/>
  <c r="H11" i="29"/>
  <c r="H9" i="29"/>
  <c r="D37" i="29"/>
  <c r="H7" i="29"/>
  <c r="H6" i="29"/>
  <c r="H13" i="29"/>
  <c r="H12" i="29"/>
  <c r="G10" i="29"/>
  <c r="G8" i="29"/>
  <c r="H10" i="29"/>
  <c r="H8" i="29"/>
  <c r="G9" i="29"/>
  <c r="G7" i="29"/>
  <c r="G6" i="29"/>
  <c r="G13" i="29"/>
  <c r="G12" i="29"/>
  <c r="G11" i="29"/>
  <c r="H5" i="29"/>
  <c r="G5" i="29"/>
  <c r="E37" i="29"/>
  <c r="D36" i="29"/>
  <c r="E36" i="29"/>
  <c r="D35" i="29"/>
  <c r="E35" i="29"/>
  <c r="D18" i="29"/>
  <c r="C34" i="29"/>
  <c r="C33" i="29"/>
  <c r="C32" i="29"/>
  <c r="C31" i="29"/>
  <c r="E18" i="29"/>
  <c r="D17" i="29"/>
  <c r="E17" i="29"/>
  <c r="C19" i="29"/>
  <c r="C26" i="29"/>
  <c r="C28" i="29"/>
  <c r="C29" i="29"/>
  <c r="D24" i="29"/>
  <c r="E24" i="29"/>
  <c r="E22" i="29"/>
  <c r="D22" i="29"/>
  <c r="D20" i="29"/>
  <c r="E20" i="29"/>
  <c r="E16" i="29"/>
  <c r="D16" i="29"/>
  <c r="D15" i="29"/>
  <c r="E15" i="29"/>
  <c r="E4" i="27"/>
  <c r="E5" i="27"/>
  <c r="E6" i="27"/>
  <c r="E7" i="27"/>
  <c r="E8" i="27"/>
  <c r="E9" i="27"/>
  <c r="E10" i="27"/>
  <c r="E11" i="27"/>
  <c r="E12" i="27"/>
  <c r="E3" i="27"/>
  <c r="D19" i="29" l="1"/>
  <c r="E19" i="29"/>
  <c r="E11" i="3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<sst xmlns="http://schemas.openxmlformats.org/spreadsheetml/2006/main" count="3316" uniqueCount="1430">
  <si>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</si>
  <si>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</si>
  <si>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</si>
  <si>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</si>
  <si>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</si>
  <si>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</si>
  <si>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</si>
  <si>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</si>
  <si>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</si>
  <si>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</si>
  <si>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</si>
  <si>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</si>
  <si>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</si>
  <si>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</si>
  <si>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</si>
  <si>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</si>
  <si>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</si>
  <si>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</si>
  <si>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</si>
  <si>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</si>
  <si>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</si>
  <si>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</si>
  <si>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</si>
  <si>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</si>
  <si>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</si>
  <si>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</si>
  <si>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</si>
  <si>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</si>
  <si>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</si>
  <si>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</si>
  <si>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</si>
  <si>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</si>
  <si>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</si>
  <si>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</si>
  <si>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</si>
  <si>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</si>
  <si>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</si>
  <si>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</si>
  <si>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</si>
  <si>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</si>
  <si>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</si>
  <si>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</si>
  <si>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</si>
  <si>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</si>
  <si>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</si>
  <si>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</si>
  <si>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</si>
  <si>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</si>
  <si>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</si>
  <si>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</si>
  <si>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</si>
  <si>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</si>
  <si>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</si>
  <si>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</si>
  <si>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</si>
  <si>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</si>
  <si>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</si>
  <si>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</si>
  <si>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</si>
  <si>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</si>
  <si>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</si>
  <si>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</si>
  <si>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</si>
  <si>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</si>
  <si>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</si>
  <si>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</si>
  <si>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</si>
  <si>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</si>
  <si>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</si>
  <si>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</si>
  <si>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</si>
  <si>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</si>
  <si>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</si>
  <si>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</si>
  <si>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</si>
  <si>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</si>
  <si>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</si>
  <si>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</si>
  <si>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</si>
  <si>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</si>
  <si>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</si>
  <si>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</si>
  <si>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</si>
  <si>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</si>
  <si>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</si>
  <si>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</si>
  <si>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</si>
  <si>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</si>
  <si>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</si>
  <si>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</si>
  <si>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</si>
  <si>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</si>
  <si>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</si>
  <si>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</si>
  <si>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</si>
  <si>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</si>
  <si>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</si>
  <si>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</si>
  <si>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</si>
  <si>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</si>
  <si>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</si>
  <si>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</si>
  <si>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</si>
  <si>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</si>
  <si>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</si>
  <si>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</si>
  <si>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</si>
  <si>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</si>
  <si>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</si>
  <si>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</si>
  <si>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</si>
  <si>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</si>
  <si>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</si>
  <si>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</si>
  <si>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</si>
  <si>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</si>
  <si>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</si>
  <si>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</si>
  <si>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</si>
  <si>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</si>
  <si>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</si>
  <si>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</si>
  <si>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</si>
  <si>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</si>
  <si>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</si>
  <si>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</si>
  <si>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</si>
  <si>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</si>
  <si>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</si>
  <si>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</si>
  <si>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</si>
  <si>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</si>
  <si>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</si>
  <si>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</si>
  <si>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</si>
  <si>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</si>
  <si>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</si>
  <si>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</si>
  <si>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</si>
  <si>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</si>
  <si>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</si>
  <si>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</si>
  <si>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</si>
  <si>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</si>
  <si>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</si>
  <si>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</si>
  <si>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</si>
  <si>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</si>
  <si>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</si>
  <si>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</si>
  <si>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</si>
  <si>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</si>
  <si>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</si>
  <si>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</si>
  <si>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</si>
  <si>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</si>
  <si>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</si>
  <si>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</si>
  <si>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</si>
  <si>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</si>
  <si>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</si>
  <si>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</si>
  <si>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</si>
  <si>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</si>
  <si>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</si>
  <si>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</si>
  <si>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</si>
  <si>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</si>
  <si>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</si>
  <si>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</si>
  <si>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</si>
  <si>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</si>
  <si>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</si>
  <si>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</si>
  <si>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</si>
  <si>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</si>
  <si>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</si>
  <si>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</si>
  <si>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</si>
  <si>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</si>
  <si>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</si>
  <si>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</si>
  <si>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</si>
  <si>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</si>
  <si>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</si>
  <si>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</si>
  <si>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</si>
  <si>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</si>
  <si>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</si>
  <si>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</si>
  <si>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</si>
  <si>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</si>
  <si>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</si>
  <si>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</si>
  <si>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</si>
  <si>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</si>
  <si>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</si>
  <si>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</si>
  <si>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</si>
  <si>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</si>
  <si>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</si>
  <si>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</si>
  <si>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</si>
  <si>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</si>
  <si>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</si>
  <si>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</si>
  <si>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</si>
  <si>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</si>
  <si>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</si>
  <si>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</si>
  <si>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</si>
  <si>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</si>
  <si>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</si>
  <si>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</si>
  <si>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</si>
  <si>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</si>
  <si>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</si>
  <si>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</si>
  <si>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</si>
  <si>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</si>
  <si>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</si>
  <si>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</si>
  <si>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</si>
  <si>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</si>
  <si>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</si>
  <si>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</si>
  <si>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</si>
  <si>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</si>
  <si>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</si>
  <si>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</si>
  <si>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</si>
  <si>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</si>
  <si>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</si>
  <si>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</si>
  <si>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</si>
  <si>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</si>
  <si>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</si>
  <si>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</si>
  <si>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</si>
  <si>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</si>
  <si>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</si>
  <si>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</si>
  <si>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</si>
  <si>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</si>
  <si>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</si>
  <si>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</si>
  <si>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</si>
  <si>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</si>
  <si>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</si>
  <si>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</si>
  <si>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</si>
  <si>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</si>
  <si>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</si>
  <si>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</si>
  <si>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</si>
  <si>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</si>
  <si>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</si>
  <si>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</si>
  <si>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</si>
  <si>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</si>
  <si>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</si>
  <si>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</si>
  <si>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</si>
  <si>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</si>
  <si>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</si>
  <si>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</si>
  <si>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</si>
  <si>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</si>
  <si>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</si>
  <si>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</si>
  <si>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</si>
  <si>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</si>
  <si>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</si>
  <si>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</si>
  <si>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</si>
  <si>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</si>
  <si>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</si>
  <si>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</si>
  <si>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</si>
  <si>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</si>
  <si>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</si>
  <si>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</si>
  <si>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</si>
  <si>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</si>
  <si>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</si>
  <si>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</si>
  <si>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</si>
  <si>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</si>
  <si>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</si>
  <si>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</si>
  <si>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</si>
  <si>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</si>
  <si>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</si>
  <si>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</si>
  <si>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</si>
  <si>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</si>
  <si>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</si>
  <si>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</si>
  <si>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</si>
  <si>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</si>
  <si>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</si>
  <si>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</si>
  <si>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</si>
  <si>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</si>
  <si>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</si>
  <si>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</si>
  <si>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</si>
  <si>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</si>
  <si>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</si>
  <si>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</si>
  <si>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</si>
  <si>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</si>
  <si>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</si>
  <si>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</si>
  <si>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</si>
  <si>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</si>
  <si>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</si>
  <si>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</si>
  <si>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</si>
  <si>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</si>
  <si>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</si>
  <si>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</si>
  <si>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</si>
  <si>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</si>
  <si>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</si>
  <si>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</si>
  <si>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</si>
  <si>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</si>
  <si>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</si>
  <si>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</si>
  <si>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</si>
  <si>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</si>
  <si>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</si>
  <si>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</si>
  <si>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</si>
  <si>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</si>
  <si>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</si>
  <si>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</si>
  <si>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</si>
  <si>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</si>
  <si>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</si>
  <si>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</si>
  <si>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</si>
  <si>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</si>
  <si>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</si>
  <si>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</si>
  <si>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</si>
  <si>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</si>
  <si>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</si>
  <si>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</si>
  <si>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</si>
  <si>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</si>
  <si>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</si>
  <si>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</si>
  <si>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</si>
  <si>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</si>
  <si>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</si>
  <si>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</si>
  <si>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</si>
  <si>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</si>
  <si>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</si>
  <si>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</si>
  <si>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</si>
  <si>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</si>
  <si>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</si>
  <si>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</si>
  <si>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</si>
  <si>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</si>
  <si>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</si>
  <si>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</si>
  <si>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</si>
  <si>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</si>
  <si>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</si>
  <si>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</si>
  <si>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</si>
  <si>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</si>
  <si>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</si>
  <si>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</si>
  <si>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</si>
  <si>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</si>
  <si>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</si>
  <si>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</si>
  <si>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</si>
  <si>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</si>
  <si>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</si>
  <si>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</si>
  <si>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</si>
  <si>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</si>
  <si>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</si>
  <si>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</si>
  <si>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</si>
  <si>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</si>
  <si>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</si>
  <si>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</si>
  <si>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</si>
  <si>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</si>
  <si>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</si>
  <si>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</si>
  <si>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</si>
  <si>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</si>
  <si>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</si>
  <si>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</si>
  <si>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</si>
  <si>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</si>
  <si>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</si>
  <si>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</si>
  <si>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</si>
  <si>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</si>
  <si>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</si>
  <si>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</si>
  <si>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</si>
  <si>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</si>
  <si>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</si>
  <si>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</si>
  <si>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</si>
  <si>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</si>
  <si>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</si>
  <si>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</si>
  <si>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</si>
  <si>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</si>
  <si>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</si>
  <si>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</si>
  <si>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</si>
  <si>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</si>
  <si>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</si>
  <si>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</si>
  <si>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</si>
  <si>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</si>
  <si>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</si>
  <si>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</si>
  <si>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</si>
  <si>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</si>
  <si>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</si>
  <si>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</si>
  <si>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</si>
  <si>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</si>
  <si>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</si>
  <si>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</si>
  <si>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</si>
  <si>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</si>
  <si>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</si>
  <si>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</si>
  <si>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</si>
  <si>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</si>
  <si>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</si>
  <si>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</si>
  <si>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</si>
  <si>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</si>
  <si>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</si>
  <si>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</si>
  <si>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</si>
  <si>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</si>
  <si>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</si>
  <si>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</si>
  <si>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</si>
  <si>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</si>
  <si>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</si>
  <si>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</si>
  <si>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</si>
  <si>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</si>
  <si>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</si>
  <si>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</si>
  <si>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</si>
  <si>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</si>
  <si>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</si>
  <si>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</si>
  <si>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</si>
  <si>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</si>
  <si>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</si>
  <si>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</si>
  <si>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</si>
  <si>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</si>
  <si>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</si>
  <si>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</si>
  <si>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</si>
  <si>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</si>
  <si>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</si>
  <si>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</si>
  <si>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</si>
  <si>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</si>
  <si>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</si>
  <si>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</si>
  <si>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</si>
  <si>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</si>
  <si>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</si>
  <si>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</si>
  <si>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</si>
  <si>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</si>
  <si>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</si>
  <si>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</si>
  <si>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</si>
  <si>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</si>
  <si>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</si>
  <si>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</si>
  <si>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</si>
  <si>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</si>
  <si>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</si>
  <si>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</si>
  <si>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</si>
  <si>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</si>
  <si>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</si>
  <si>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</si>
  <si>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</si>
  <si>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</si>
  <si>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</si>
  <si>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</si>
  <si>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</si>
  <si>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</si>
  <si>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</si>
  <si>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</si>
  <si>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</si>
  <si>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</si>
  <si>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</si>
  <si>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</si>
  <si>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</si>
  <si>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</si>
  <si>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</si>
  <si>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</si>
  <si>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</si>
  <si>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</si>
  <si>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</si>
  <si>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</si>
  <si>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</si>
  <si>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</si>
  <si>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</si>
  <si>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</si>
  <si>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</si>
  <si>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</si>
  <si>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</si>
  <si>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</si>
  <si>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</si>
  <si>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</si>
  <si>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</si>
  <si>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</si>
  <si>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</si>
  <si>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</si>
  <si>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</si>
  <si>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</si>
  <si>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</si>
  <si>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</si>
  <si>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</si>
  <si>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</si>
  <si>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</si>
  <si>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</si>
  <si>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</si>
  <si>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</si>
  <si>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</si>
  <si>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</si>
  <si>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</si>
  <si>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</si>
  <si>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</si>
  <si>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</si>
  <si>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</si>
  <si>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</si>
  <si>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</si>
  <si>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</si>
  <si>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</si>
  <si>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</si>
  <si>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</si>
  <si>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</si>
  <si>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</si>
  <si>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</si>
  <si>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</si>
  <si>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</si>
  <si>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</si>
  <si>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</si>
  <si>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</si>
  <si>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</si>
  <si>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</si>
  <si>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</si>
  <si>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</si>
  <si>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</si>
  <si>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</si>
  <si>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</si>
  <si>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</si>
  <si>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</si>
  <si>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</si>
  <si>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</si>
  <si>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</si>
  <si>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</si>
  <si>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</si>
  <si>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</si>
  <si>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</si>
  <si>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</si>
  <si>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</si>
  <si>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</si>
  <si>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</si>
  <si>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</si>
  <si>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</si>
  <si>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</si>
  <si>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</si>
  <si>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</si>
  <si>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</si>
  <si>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</si>
  <si>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</si>
  <si>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</si>
  <si>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</si>
  <si>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</si>
  <si>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</si>
  <si>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</si>
  <si>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</si>
  <si>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</si>
  <si>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</si>
  <si>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</si>
  <si>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</si>
  <si>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</si>
  <si>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</si>
  <si>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</si>
  <si>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</si>
  <si>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</si>
  <si>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</si>
  <si>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</si>
  <si>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</si>
  <si>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</si>
  <si>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</si>
  <si>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</si>
  <si>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</si>
  <si>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</si>
  <si>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</si>
  <si>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</si>
  <si>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</si>
  <si>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</si>
  <si>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</si>
  <si>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</si>
  <si>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</si>
  <si>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</si>
  <si>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</si>
  <si>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</si>
  <si>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</si>
  <si>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</si>
  <si>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</si>
  <si>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</si>
  <si>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</si>
  <si>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</si>
  <si>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</si>
  <si>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</si>
  <si>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</si>
  <si>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</si>
  <si>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</si>
  <si>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</si>
  <si>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</si>
  <si>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</si>
  <si>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</si>
  <si>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</si>
  <si>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</si>
  <si>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</si>
  <si>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</si>
  <si>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</si>
  <si>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</si>
  <si>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</si>
  <si>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</si>
  <si>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</si>
  <si>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</si>
  <si>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</si>
  <si>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</si>
  <si>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</si>
  <si>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</si>
  <si>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</si>
  <si>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</si>
  <si>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</si>
  <si>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</si>
  <si>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</si>
  <si>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</si>
  <si>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</si>
  <si>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</si>
  <si>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</si>
  <si>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</si>
  <si>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</si>
  <si>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</si>
  <si>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</si>
  <si>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</si>
  <si>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</si>
  <si>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</si>
  <si>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</si>
  <si>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</si>
  <si>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</si>
  <si>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</si>
  <si>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</si>
  <si>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</si>
  <si>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</si>
  <si>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</si>
  <si>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</si>
  <si>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</si>
  <si>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</si>
  <si>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</si>
  <si>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</si>
  <si>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</si>
  <si>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</si>
  <si>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</si>
  <si>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</si>
  <si>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</si>
  <si>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</si>
  <si>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</si>
  <si>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</si>
  <si>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</si>
  <si>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</si>
  <si>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</si>
  <si>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</si>
  <si>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</si>
  <si>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</si>
  <si>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</si>
  <si>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</si>
  <si>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</si>
  <si>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</si>
  <si>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</si>
  <si>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</si>
  <si>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</si>
  <si>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</si>
  <si>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</si>
  <si>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</si>
  <si>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</si>
  <si>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</si>
  <si>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</si>
  <si>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</si>
  <si>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</si>
  <si>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</si>
  <si>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</si>
  <si>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</si>
  <si>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</si>
  <si>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</si>
  <si>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</si>
  <si>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</si>
  <si>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</si>
  <si>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</si>
  <si>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</si>
  <si>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</si>
  <si>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</si>
  <si>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</si>
  <si>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</si>
  <si>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</si>
  <si>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</si>
  <si>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</si>
  <si>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</si>
  <si>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</si>
  <si>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</si>
  <si>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</si>
  <si>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</si>
  <si>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</si>
  <si>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</si>
  <si>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</si>
  <si>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</si>
  <si>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</si>
  <si>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</si>
  <si>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</si>
  <si>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</si>
  <si>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</si>
  <si>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</si>
  <si>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</si>
  <si>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</si>
  <si>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</si>
  <si>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</si>
  <si>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</si>
  <si>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</si>
  <si>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</si>
  <si>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</si>
  <si>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</si>
  <si>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</si>
  <si>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</si>
  <si>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</si>
  <si>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</si>
  <si>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</si>
  <si>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</si>
  <si>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</si>
  <si>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</si>
  <si>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</si>
  <si>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</si>
  <si>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</si>
  <si>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</si>
  <si>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</si>
  <si>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</si>
  <si>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</si>
  <si>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</si>
  <si>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</si>
  <si>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</si>
  <si>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</si>
  <si>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</si>
  <si>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</si>
  <si>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</si>
  <si>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</si>
  <si>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</si>
  <si>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</si>
  <si>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</si>
  <si>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</si>
  <si>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</si>
  <si>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</si>
  <si>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</si>
  <si>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</si>
  <si>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</si>
  <si>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</si>
  <si>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</si>
  <si>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</si>
  <si>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</si>
  <si>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</si>
  <si>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</si>
  <si>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</si>
  <si>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</si>
  <si>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</si>
  <si>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</si>
  <si>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</si>
  <si>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</si>
  <si>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</si>
  <si>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</si>
  <si>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</si>
  <si>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</si>
  <si>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</si>
  <si>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</si>
  <si>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</si>
  <si>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</si>
  <si>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</si>
  <si>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</si>
  <si>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</si>
  <si>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</si>
  <si>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</si>
  <si>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</si>
  <si>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</si>
  <si>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</si>
  <si>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</si>
  <si>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</si>
  <si>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</si>
  <si>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</si>
  <si>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</si>
  <si>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</si>
  <si>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</si>
  <si>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</si>
  <si>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</si>
  <si>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</si>
  <si>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</si>
  <si>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</si>
  <si>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</si>
  <si>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</si>
  <si>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</si>
  <si>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</si>
  <si>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</si>
  <si>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</si>
  <si>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</si>
  <si>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</si>
  <si>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</si>
  <si>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</si>
  <si>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</si>
  <si>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</si>
  <si>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</si>
  <si>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</si>
  <si>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</si>
  <si>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</si>
  <si>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</si>
  <si>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</si>
  <si>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</si>
  <si>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</si>
  <si>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</si>
  <si>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</si>
  <si>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</si>
  <si>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</si>
  <si>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</si>
  <si>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</si>
  <si>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</si>
  <si>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</si>
  <si>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</si>
  <si>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</si>
  <si>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</si>
  <si>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</si>
  <si>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</si>
  <si>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</si>
  <si>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</si>
  <si>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</si>
  <si>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</si>
  <si>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</si>
  <si>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</si>
  <si>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</si>
  <si>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</si>
  <si>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</si>
  <si>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</si>
  <si>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</si>
  <si>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</si>
  <si>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</si>
  <si>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</si>
  <si>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</si>
  <si>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</si>
  <si>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</si>
  <si>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</si>
  <si>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</si>
  <si>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</si>
  <si>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</si>
  <si>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</si>
  <si>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</si>
  <si>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</si>
  <si>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</si>
  <si>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</si>
  <si>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</si>
  <si>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</si>
  <si>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</si>
  <si>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</si>
  <si>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</si>
  <si>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</si>
  <si>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</si>
  <si>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</si>
  <si>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</si>
  <si>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</si>
  <si>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</si>
  <si>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</si>
  <si>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</si>
  <si>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</si>
  <si>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</si>
  <si>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</si>
  <si>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</si>
  <si>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</si>
  <si>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</si>
  <si>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</si>
  <si>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</si>
  <si>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</si>
  <si>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</si>
  <si>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</si>
  <si>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</si>
  <si>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</si>
  <si>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</si>
  <si>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</si>
  <si>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</si>
  <si>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</si>
  <si>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</si>
  <si>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</si>
  <si>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</si>
  <si>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</si>
  <si>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</si>
  <si>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</si>
  <si>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</si>
  <si>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</si>
  <si>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</si>
  <si>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</si>
  <si>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</si>
  <si>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</si>
  <si>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</si>
  <si>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</si>
  <si>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</si>
  <si>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</si>
  <si>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</si>
  <si>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</si>
  <si>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</si>
  <si>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</si>
  <si>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</si>
  <si>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</si>
  <si>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</si>
  <si>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</si>
  <si>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</si>
  <si>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</si>
  <si>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</si>
  <si>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</si>
  <si>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</si>
  <si>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</si>
  <si>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</si>
  <si>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</si>
  <si>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</si>
  <si>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</si>
  <si>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</si>
  <si>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</si>
  <si>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</si>
  <si>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</si>
  <si>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</si>
  <si>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</si>
  <si>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</si>
  <si>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</si>
  <si>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</si>
  <si>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</si>
  <si>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</si>
  <si>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</si>
  <si>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</si>
  <si>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</si>
  <si>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</si>
  <si>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</si>
  <si>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</si>
  <si>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</si>
  <si>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</si>
  <si>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</si>
  <si>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</si>
  <si>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</si>
  <si>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</si>
  <si>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</si>
  <si>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</si>
  <si>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</si>
  <si>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</si>
  <si>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</si>
  <si>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</si>
  <si>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</si>
  <si>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</si>
  <si>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</si>
  <si>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</si>
  <si>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</si>
  <si>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</si>
  <si>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</si>
  <si>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</si>
  <si>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</si>
  <si>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</si>
  <si>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</si>
  <si>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</si>
  <si>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</si>
  <si>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</si>
  <si>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</si>
  <si>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</si>
  <si>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</si>
  <si>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</si>
  <si>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</si>
  <si>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</si>
  <si>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</si>
  <si>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</si>
  <si>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</si>
  <si>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</si>
  <si>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</si>
  <si>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</si>
  <si>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</si>
  <si>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</si>
  <si>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</si>
  <si>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</si>
  <si>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</si>
  <si>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</si>
  <si>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</si>
  <si>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</si>
  <si>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</si>
  <si>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</si>
  <si>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</si>
  <si>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</si>
  <si>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</si>
  <si>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</si>
  <si>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</si>
  <si>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</si>
  <si>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</si>
  <si>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</si>
  <si>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</si>
  <si>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</si>
  <si>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</si>
  <si>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</si>
  <si>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</si>
  <si>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</si>
  <si>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</si>
  <si>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</si>
  <si>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</si>
  <si>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</si>
  <si>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</si>
  <si>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</si>
  <si>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</si>
  <si>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</si>
  <si>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</si>
  <si>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</si>
  <si>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</si>
  <si>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</si>
  <si>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</si>
  <si>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</si>
  <si>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</si>
  <si>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</si>
  <si>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</si>
  <si>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</si>
  <si>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</si>
  <si>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</si>
  <si>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</si>
  <si>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</si>
  <si>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</si>
  <si>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</si>
  <si>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</si>
  <si>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</si>
  <si>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</si>
  <si>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</si>
  <si>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</si>
  <si>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</si>
  <si>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</si>
  <si>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</si>
  <si>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</si>
  <si>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</si>
  <si>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</si>
  <si>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</si>
  <si>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</si>
  <si>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</si>
  <si>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</si>
  <si>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</si>
  <si>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</si>
  <si>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</si>
  <si>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</si>
  <si>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</si>
  <si>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</si>
  <si>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</si>
  <si>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</si>
  <si>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</si>
  <si>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</si>
  <si>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</si>
  <si>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</si>
  <si>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</si>
  <si>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</si>
  <si>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</si>
  <si>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</si>
  <si>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</si>
  <si>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</si>
  <si>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</si>
  <si>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</si>
  <si>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</si>
  <si>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</si>
  <si>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</si>
  <si>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</si>
  <si>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</si>
  <si>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</si>
  <si>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</si>
  <si>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</si>
  <si>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</si>
  <si>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</si>
  <si>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</si>
  <si>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</si>
  <si>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</si>
  <si>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</si>
  <si>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</si>
  <si>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</si>
  <si>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</si>
  <si>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</si>
  <si>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</si>
  <si>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</si>
  <si>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</si>
  <si>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</si>
  <si>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</si>
  <si>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</si>
  <si>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</si>
  <si>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</si>
  <si>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</si>
  <si>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</si>
  <si>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</si>
  <si>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</si>
  <si>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</si>
  <si>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</si>
  <si>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</si>
  <si>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</si>
  <si>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</si>
  <si>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</si>
  <si>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</si>
  <si>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</si>
  <si>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</si>
  <si>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</si>
  <si>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</si>
  <si>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</si>
  <si>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</si>
  <si>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</si>
  <si>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</si>
  <si>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</si>
  <si>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</si>
  <si>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</si>
  <si>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</si>
  <si>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</si>
  <si>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</si>
  <si>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</si>
  <si>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</si>
  <si>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</si>
  <si>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</si>
  <si>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</si>
  <si>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</si>
  <si>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</si>
  <si>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</si>
  <si>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</si>
  <si>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</si>
  <si>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</si>
  <si>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</si>
  <si>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</si>
  <si>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</si>
  <si>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</si>
  <si>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</si>
  <si>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</si>
  <si>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</si>
  <si>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</si>
  <si>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</si>
  <si>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</si>
  <si>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비율:</t>
    <phoneticPr fontId="2" type="noConversion"/>
  </si>
  <si>
    <t>B$36</t>
  </si>
  <si>
    <t>혼합참조 : 열과 행이 상대참조와 절대참조를 혼합하여 사용</t>
    <phoneticPr fontId="2" type="noConversion"/>
  </si>
  <si>
    <t>기본점수:</t>
    <phoneticPr fontId="2" type="noConversion"/>
  </si>
  <si>
    <t>예 : $B$28</t>
    <phoneticPr fontId="2" type="noConversion"/>
  </si>
  <si>
    <t>절대참조: 수식 채우기에 대응하지않고 참조범위 고정</t>
    <phoneticPr fontId="2" type="noConversion"/>
  </si>
  <si>
    <t>예: =B20+C20</t>
    <phoneticPr fontId="2" type="noConversion"/>
  </si>
  <si>
    <t>상대참조: 수식복사 위치에 대응하여 참조범위 변경</t>
    <phoneticPr fontId="2" type="noConversion"/>
  </si>
  <si>
    <t>다르다</t>
    <phoneticPr fontId="2" type="noConversion"/>
  </si>
  <si>
    <t>&lt;&gt;</t>
    <phoneticPr fontId="2" type="noConversion"/>
  </si>
  <si>
    <t>같다</t>
    <phoneticPr fontId="2" type="noConversion"/>
  </si>
  <si>
    <t>=</t>
    <phoneticPr fontId="2" type="noConversion"/>
  </si>
  <si>
    <t>미만</t>
    <phoneticPr fontId="2" type="noConversion"/>
  </si>
  <si>
    <t>&lt;</t>
    <phoneticPr fontId="2" type="noConversion"/>
  </si>
  <si>
    <t>이하</t>
    <phoneticPr fontId="2" type="noConversion"/>
  </si>
  <si>
    <t>&lt;=</t>
    <phoneticPr fontId="2" type="noConversion"/>
  </si>
  <si>
    <t>이상</t>
    <phoneticPr fontId="2" type="noConversion"/>
  </si>
  <si>
    <t>&gt;=</t>
  </si>
  <si>
    <t>초과</t>
    <phoneticPr fontId="2" type="noConversion"/>
  </si>
  <si>
    <t>&gt;</t>
    <phoneticPr fontId="2" type="noConversion"/>
  </si>
  <si>
    <t>할머니상어</t>
    <phoneticPr fontId="2" type="noConversion"/>
  </si>
  <si>
    <t>엄마상어</t>
    <phoneticPr fontId="2" type="noConversion"/>
  </si>
  <si>
    <t>참조-숫자,문자   결과-Bool(TRUE, FALSE)</t>
    <phoneticPr fontId="2" type="noConversion"/>
  </si>
  <si>
    <t>3. 비교연산자</t>
    <phoneticPr fontId="2" type="noConversion"/>
  </si>
  <si>
    <t>2. 연결연산자</t>
    <phoneticPr fontId="2" type="noConversion"/>
  </si>
  <si>
    <t>셀 참조하여 연산가능</t>
    <phoneticPr fontId="2" type="noConversion"/>
  </si>
  <si>
    <t>=B4+D4</t>
    <phoneticPr fontId="2" type="noConversion"/>
  </si>
  <si>
    <t>에러메세지</t>
    <phoneticPr fontId="2" type="noConversion"/>
  </si>
  <si>
    <t>나누기</t>
    <phoneticPr fontId="2" type="noConversion"/>
  </si>
  <si>
    <t>곱하기</t>
    <phoneticPr fontId="2" type="noConversion"/>
  </si>
  <si>
    <t>빼기</t>
    <phoneticPr fontId="2" type="noConversion"/>
  </si>
  <si>
    <t>더하기</t>
    <phoneticPr fontId="2" type="noConversion"/>
  </si>
  <si>
    <t>아기상어</t>
    <phoneticPr fontId="2" type="noConversion"/>
  </si>
  <si>
    <t>참조-숫자, 결과 - 숫자</t>
    <phoneticPr fontId="2" type="noConversion"/>
  </si>
  <si>
    <t>1. 산술연산자</t>
    <phoneticPr fontId="2" type="noConversion"/>
  </si>
  <si>
    <t>MBC 아카데미 서면점</t>
    <phoneticPr fontId="2" type="noConversion"/>
  </si>
  <si>
    <t>왼쪽에서 글자수만큼 추출</t>
    <phoneticPr fontId="2" type="noConversion"/>
  </si>
  <si>
    <t>left(문자열,글자수)</t>
    <phoneticPr fontId="2" type="noConversion"/>
  </si>
  <si>
    <t>right(문자열,글자수)</t>
    <phoneticPr fontId="2" type="noConversion"/>
  </si>
  <si>
    <t>오른쪽에서 글자수만큼 추출</t>
    <phoneticPr fontId="2" type="noConversion"/>
  </si>
  <si>
    <t>mid(문자열,시작위치,글자수)</t>
    <phoneticPr fontId="2" type="noConversion"/>
  </si>
  <si>
    <t>왼쪽에서 시작위치에서부터 글자수만큼 추출</t>
    <phoneticPr fontId="2" type="noConversion"/>
  </si>
  <si>
    <r>
      <t xml:space="preserve">mBc It </t>
    </r>
    <r>
      <rPr>
        <sz val="11"/>
        <color theme="1"/>
        <rFont val="맑은 고딕"/>
        <family val="3"/>
        <charset val="129"/>
      </rPr>
      <t>컴퓨터</t>
    </r>
    <r>
      <rPr>
        <sz val="11"/>
        <color theme="1"/>
        <rFont val="돋움"/>
        <family val="3"/>
        <charset val="129"/>
      </rPr>
      <t xml:space="preserve"> </t>
    </r>
    <r>
      <rPr>
        <sz val="11"/>
        <color theme="1"/>
        <rFont val="Consolas"/>
        <family val="3"/>
      </rPr>
      <t>aCaDEmy</t>
    </r>
    <phoneticPr fontId="2" type="noConversion"/>
  </si>
  <si>
    <t>upper(문자열)</t>
    <phoneticPr fontId="2" type="noConversion"/>
  </si>
  <si>
    <t>대문자</t>
    <phoneticPr fontId="2" type="noConversion"/>
  </si>
  <si>
    <t>lower(문자열)</t>
    <phoneticPr fontId="2" type="noConversion"/>
  </si>
  <si>
    <t>소문자</t>
    <phoneticPr fontId="2" type="noConversion"/>
  </si>
  <si>
    <t>proper(문자열)</t>
    <phoneticPr fontId="2" type="noConversion"/>
  </si>
  <si>
    <t>단어첫글자대문자 ,나머지 소문자</t>
    <phoneticPr fontId="2" type="noConversion"/>
  </si>
  <si>
    <t xml:space="preserve">     MBC 아카데미     </t>
    <phoneticPr fontId="2" type="noConversion"/>
  </si>
  <si>
    <t>len(문자열)</t>
    <phoneticPr fontId="2" type="noConversion"/>
  </si>
  <si>
    <t>문자열의 길이</t>
    <phoneticPr fontId="2" type="noConversion"/>
  </si>
  <si>
    <t>trim(문자열)</t>
    <phoneticPr fontId="2" type="noConversion"/>
  </si>
  <si>
    <t>문자열 좌우공백 제거</t>
    <phoneticPr fontId="2" type="noConversion"/>
  </si>
  <si>
    <t>LEN(TRIM(B47))</t>
  </si>
  <si>
    <t>FIND(찾을문자열,원본문자열)</t>
    <phoneticPr fontId="2" type="noConversion"/>
  </si>
  <si>
    <t>찾을 문자열이 몇번째인지</t>
    <phoneticPr fontId="2" type="noConversion"/>
  </si>
  <si>
    <t>찾는 문자열이 존재하지 못할 경우</t>
    <phoneticPr fontId="2" type="noConversion"/>
  </si>
  <si>
    <t>FIND(찾을문자열,원본문자열,시작위치)</t>
    <phoneticPr fontId="2" type="noConversion"/>
  </si>
  <si>
    <t>시작위치로부터 찾기 시작</t>
    <phoneticPr fontId="2" type="noConversion"/>
  </si>
  <si>
    <t>찾을 문자열 대소문자구분</t>
    <phoneticPr fontId="2" type="noConversion"/>
  </si>
  <si>
    <t>search(찾을문자열,원본문자열)</t>
    <phoneticPr fontId="2" type="noConversion"/>
  </si>
  <si>
    <t>find 와 같으나 찾을 문자열 대소문자 구분안함</t>
    <phoneticPr fontId="2" type="noConversion"/>
  </si>
  <si>
    <t>IF(TRUE,"참이지롱","거짓부렁")</t>
  </si>
  <si>
    <t>IF(조건,참일때값,거짓일때값)</t>
    <phoneticPr fontId="2" type="noConversion"/>
  </si>
  <si>
    <t>조건이 참(TRUE) 일 경우 2번째매개변수리턴
거짓(FALSE)일경우 3번째매개변수리턴</t>
    <phoneticPr fontId="2" type="noConversion"/>
  </si>
  <si>
    <t>점수:</t>
    <phoneticPr fontId="2" type="noConversion"/>
  </si>
  <si>
    <t>IF(H28&gt;=80,"합격","불합격")</t>
  </si>
  <si>
    <t>우수    양호    정상   미달
     80        60      40</t>
    <phoneticPr fontId="2" type="noConversion"/>
  </si>
  <si>
    <t>IF(H28&gt;=80,"우수",IF(H28&gt;=60,"양호",IF(H28&gt;=40,"정상","미달")))</t>
  </si>
  <si>
    <t>AND(TRUE,TRUE,TRUE)</t>
    <phoneticPr fontId="2" type="noConversion"/>
  </si>
  <si>
    <t>AND(TRUE,FALSE,TRUE)</t>
    <phoneticPr fontId="2" type="noConversion"/>
  </si>
  <si>
    <t>AND(FALSE,FALSE,FALSE)</t>
    <phoneticPr fontId="2" type="noConversion"/>
  </si>
  <si>
    <t>and : 모든 매개변수가 TRUE 일때 TRUE</t>
    <phoneticPr fontId="2" type="noConversion"/>
  </si>
  <si>
    <t>AND(10,123)</t>
    <phoneticPr fontId="2" type="noConversion"/>
  </si>
  <si>
    <t>숫자 : 0 - FALSE,    0제외 - TRUE</t>
    <phoneticPr fontId="2" type="noConversion"/>
  </si>
  <si>
    <t>AND(10,123,-1345,-0.123)</t>
    <phoneticPr fontId="2" type="noConversion"/>
  </si>
  <si>
    <t>or(TRUE,TRUE,TRUE)</t>
  </si>
  <si>
    <t>or(TRUE,TRUE,FALSE)</t>
    <phoneticPr fontId="2" type="noConversion"/>
  </si>
  <si>
    <t>or(FALSE,FALSE,FALSE)</t>
    <phoneticPr fontId="2" type="noConversion"/>
  </si>
  <si>
    <t>or : 매개변수 1개라도 TRUE 일때 TRUE</t>
    <phoneticPr fontId="2" type="noConversion"/>
  </si>
  <si>
    <t>NOT(TRUE)</t>
    <phoneticPr fontId="2" type="noConversion"/>
  </si>
  <si>
    <t>NOT(FALSE)</t>
    <phoneticPr fontId="2" type="noConversion"/>
  </si>
  <si>
    <t>not : 매개변수의 반대</t>
    <phoneticPr fontId="2" type="noConversion"/>
  </si>
  <si>
    <t>10/5</t>
    <phoneticPr fontId="2" type="noConversion"/>
  </si>
  <si>
    <t>10/0</t>
    <phoneticPr fontId="2" type="noConversion"/>
  </si>
  <si>
    <t>IFERROR(수식,오류대체문자값) - 첫번째 수식이 에러일 경우 두번째 매개변수 리턴</t>
    <phoneticPr fontId="2" type="noConversion"/>
  </si>
  <si>
    <t>IFS(H54&gt;=80,"우수",H54&gt;=60,"양호",H54&gt;=40,"정상",H54&lt;40,"미달")</t>
  </si>
  <si>
    <t>IFS(조건1,값1,조건2,값2,조건3,값3...)</t>
    <phoneticPr fontId="2" type="noConversion"/>
  </si>
  <si>
    <t>각 조건에 충족할때 해당 값 리턴</t>
    <phoneticPr fontId="2" type="noConversion"/>
  </si>
  <si>
    <t>SWITCH(H58,0,"짜장면",10,"돈가스",20,"제육",30,"국밥","김치찌개")</t>
    <phoneticPr fontId="2" type="noConversion"/>
  </si>
  <si>
    <t>SWITCH(찾을값, 번호1,값1,번호2,값2,번호3,값3,…, 나머지)</t>
    <phoneticPr fontId="2" type="noConversion"/>
  </si>
  <si>
    <t>찾을값에 해당하는 번호의 값 리턴, 번호가 없을경우 나머지 리턴</t>
    <phoneticPr fontId="2" type="noConversion"/>
  </si>
  <si>
    <t>국어</t>
    <phoneticPr fontId="2" type="noConversion"/>
  </si>
  <si>
    <t>영어</t>
    <phoneticPr fontId="2" type="noConversion"/>
  </si>
  <si>
    <t>컴공</t>
    <phoneticPr fontId="2" type="noConversion"/>
  </si>
  <si>
    <t>국문</t>
    <phoneticPr fontId="2" type="noConversion"/>
  </si>
  <si>
    <t>영문</t>
    <phoneticPr fontId="2" type="noConversion"/>
  </si>
  <si>
    <t>SUM(11,33,56,78,9,100)</t>
  </si>
  <si>
    <t>인수들의 합</t>
    <phoneticPr fontId="2" type="noConversion"/>
  </si>
  <si>
    <t>RAND()</t>
    <phoneticPr fontId="2" type="noConversion"/>
  </si>
  <si>
    <t>0~1 난수발생</t>
    <phoneticPr fontId="2" type="noConversion"/>
  </si>
  <si>
    <t>RAND()*70</t>
  </si>
  <si>
    <t>0~70 난수 발생</t>
    <phoneticPr fontId="2" type="noConversion"/>
  </si>
  <si>
    <t>RAND()*70+30</t>
    <phoneticPr fontId="2" type="noConversion"/>
  </si>
  <si>
    <t>30~100 난수발생</t>
    <phoneticPr fontId="2" type="noConversion"/>
  </si>
  <si>
    <t>int(실수)</t>
    <phoneticPr fontId="2" type="noConversion"/>
  </si>
  <si>
    <t>정수화</t>
    <phoneticPr fontId="2" type="noConversion"/>
  </si>
  <si>
    <t>trunc(실수,소수점자릿수)</t>
    <phoneticPr fontId="2" type="noConversion"/>
  </si>
  <si>
    <t>소숫점자리수 이후 절삭</t>
    <phoneticPr fontId="2" type="noConversion"/>
  </si>
  <si>
    <t>RANDBETWEEN(30,70)</t>
  </si>
  <si>
    <t>30~70 정수 난수 발생</t>
    <phoneticPr fontId="2" type="noConversion"/>
  </si>
  <si>
    <t>INT(RAND()*70+30)</t>
  </si>
  <si>
    <t>와 같음</t>
    <phoneticPr fontId="2" type="noConversion"/>
  </si>
  <si>
    <t>합계</t>
    <phoneticPr fontId="2" type="noConversion"/>
  </si>
  <si>
    <t>count(인수1,인수2,…)</t>
    <phoneticPr fontId="2" type="noConversion"/>
  </si>
  <si>
    <t>인수중 숫자들의 개수</t>
    <phoneticPr fontId="2" type="noConversion"/>
  </si>
  <si>
    <t>평균1</t>
    <phoneticPr fontId="2" type="noConversion"/>
  </si>
  <si>
    <t>평균2</t>
    <phoneticPr fontId="2" type="noConversion"/>
  </si>
  <si>
    <t>AVERAGE(인수1,인수2,...)</t>
    <phoneticPr fontId="2" type="noConversion"/>
  </si>
  <si>
    <t>인수들의 평균</t>
    <phoneticPr fontId="2" type="noConversion"/>
  </si>
  <si>
    <t>MOD(15,7)</t>
  </si>
  <si>
    <t>15/7 의 나머지</t>
    <phoneticPr fontId="2" type="noConversion"/>
  </si>
  <si>
    <t>power(2,4)</t>
  </si>
  <si>
    <t>2의 4승</t>
    <phoneticPr fontId="2" type="noConversion"/>
  </si>
  <si>
    <t>SQRT(2)</t>
  </si>
  <si>
    <t>2의 제곱근</t>
    <phoneticPr fontId="2" type="noConversion"/>
  </si>
  <si>
    <t>round(숫자,자리수)</t>
    <phoneticPr fontId="2" type="noConversion"/>
  </si>
  <si>
    <t>반올림</t>
    <phoneticPr fontId="2" type="noConversion"/>
  </si>
  <si>
    <t>roundup</t>
    <phoneticPr fontId="2" type="noConversion"/>
  </si>
  <si>
    <t>올림</t>
    <phoneticPr fontId="2" type="noConversion"/>
  </si>
  <si>
    <t>rounddown</t>
    <phoneticPr fontId="2" type="noConversion"/>
  </si>
  <si>
    <t>내림</t>
    <phoneticPr fontId="2" type="noConversion"/>
  </si>
  <si>
    <t>abs</t>
    <phoneticPr fontId="2" type="noConversion"/>
  </si>
  <si>
    <t>sumifs</t>
    <phoneticPr fontId="2" type="noConversion"/>
  </si>
  <si>
    <t>sumif</t>
    <phoneticPr fontId="2" type="noConversion"/>
  </si>
  <si>
    <t>학과가 컴공</t>
    <phoneticPr fontId="2" type="noConversion"/>
  </si>
  <si>
    <t>AVERAGEIF</t>
  </si>
  <si>
    <t>COUNTIF</t>
  </si>
  <si>
    <t>찾을범위,조건,계산할범위</t>
    <phoneticPr fontId="2" type="noConversion"/>
  </si>
  <si>
    <t>조건:문자열로작성</t>
    <phoneticPr fontId="2" type="noConversion"/>
  </si>
  <si>
    <t>계산할범위,조건영역1,조건1,조건영역2,조건2….</t>
    <phoneticPr fontId="2" type="noConversion"/>
  </si>
  <si>
    <t>칠십</t>
    <phoneticPr fontId="2" type="noConversion"/>
  </si>
  <si>
    <t>count</t>
    <phoneticPr fontId="2" type="noConversion"/>
  </si>
  <si>
    <t>counta</t>
    <phoneticPr fontId="2" type="noConversion"/>
  </si>
  <si>
    <t>숫자,글자</t>
    <phoneticPr fontId="2" type="noConversion"/>
  </si>
  <si>
    <t xml:space="preserve">숫자만 </t>
    <phoneticPr fontId="2" type="noConversion"/>
  </si>
  <si>
    <t>COUNTBLANK</t>
  </si>
  <si>
    <t>빈칸</t>
    <phoneticPr fontId="2" type="noConversion"/>
  </si>
  <si>
    <t>max-가장큰값</t>
    <phoneticPr fontId="2" type="noConversion"/>
  </si>
  <si>
    <t>min-가장작은값</t>
    <phoneticPr fontId="2" type="noConversion"/>
  </si>
  <si>
    <t>LARGE(C5:E12,3)</t>
    <phoneticPr fontId="2" type="noConversion"/>
  </si>
  <si>
    <t>3번째로 큰값</t>
    <phoneticPr fontId="2" type="noConversion"/>
  </si>
  <si>
    <t>SMALL(C5:E13,3)</t>
    <phoneticPr fontId="2" type="noConversion"/>
  </si>
  <si>
    <t>3번째로 작은값</t>
    <phoneticPr fontId="2" type="noConversion"/>
  </si>
  <si>
    <t>MEDIAN(C5:C13)</t>
  </si>
  <si>
    <t>중간값- 존재하는 중간값</t>
    <phoneticPr fontId="2" type="noConversion"/>
  </si>
  <si>
    <t>분산</t>
    <phoneticPr fontId="2" type="noConversion"/>
  </si>
  <si>
    <t>VAR.S</t>
  </si>
  <si>
    <t>STDEV.S</t>
    <phoneticPr fontId="2" type="noConversion"/>
  </si>
  <si>
    <t>표준편차</t>
    <phoneticPr fontId="2" type="noConversion"/>
  </si>
  <si>
    <t>등수-내림</t>
    <phoneticPr fontId="2" type="noConversion"/>
  </si>
  <si>
    <t>오름</t>
    <phoneticPr fontId="2" type="noConversion"/>
  </si>
  <si>
    <t>MODE.SNGL</t>
    <phoneticPr fontId="2" type="noConversion"/>
  </si>
  <si>
    <t>빈도수가 높은 숫자</t>
    <phoneticPr fontId="2" type="noConversion"/>
  </si>
  <si>
    <t>4가 3번으로 가장 많이 나옴</t>
    <phoneticPr fontId="2" type="noConversion"/>
  </si>
  <si>
    <t>학과가 국문인 국어합계</t>
    <phoneticPr fontId="2" type="noConversion"/>
  </si>
  <si>
    <t>DSUM(B2:E11,2,G5:G6)</t>
  </si>
  <si>
    <t>전체데이터베이스영역,합계를구할열번호(셀이름),조건범위</t>
    <phoneticPr fontId="2" type="noConversion"/>
  </si>
  <si>
    <t>DAVERAGE(B2:E11,C2,G13:G14)</t>
  </si>
  <si>
    <t>전체데이터베이스영역 - 열이름도 선택</t>
    <phoneticPr fontId="2" type="noConversion"/>
  </si>
  <si>
    <t>DCOUNT(B2:E11,3,G13:G14)</t>
    <phoneticPr fontId="2" type="noConversion"/>
  </si>
  <si>
    <t>DCOUNTA(B2:E11,3,G13:G14)</t>
  </si>
  <si>
    <t>DMAX(B2:E11,C2,G13:G14)</t>
    <phoneticPr fontId="2" type="noConversion"/>
  </si>
  <si>
    <t>DMIN(B2:E11,C2,G13:G14)</t>
  </si>
  <si>
    <t>DSTDEV(B2:E11,C2,G13:G14)</t>
  </si>
  <si>
    <t>DVAR(B2:E11,C2,G13:G14)</t>
  </si>
  <si>
    <t>HLOOKUP("대리",C14:F16,2,0)</t>
  </si>
  <si>
    <t>가</t>
    <phoneticPr fontId="2" type="noConversion"/>
  </si>
  <si>
    <t>양</t>
    <phoneticPr fontId="2" type="noConversion"/>
  </si>
  <si>
    <t>미</t>
    <phoneticPr fontId="2" type="noConversion"/>
  </si>
  <si>
    <t>우</t>
    <phoneticPr fontId="2" type="noConversion"/>
  </si>
  <si>
    <t>수</t>
    <phoneticPr fontId="2" type="noConversion"/>
  </si>
  <si>
    <t>HLOOKUP(H9,I14:M15,2,0)</t>
    <phoneticPr fontId="2" type="noConversion"/>
  </si>
  <si>
    <t>HLOOKUP(H9,I14:M15,2,1)</t>
  </si>
  <si>
    <t>비슷한값 : 찾는값보다 큰 숫자 이전 값</t>
    <phoneticPr fontId="2" type="noConversion"/>
  </si>
  <si>
    <t>찾는값, hlookup범위, 가져올행번호, 일치옵션</t>
    <phoneticPr fontId="2" type="noConversion"/>
  </si>
  <si>
    <t>찾는값 -&gt; hlookup범위 첫번째 행에 있어야 한다.</t>
    <phoneticPr fontId="2" type="noConversion"/>
  </si>
  <si>
    <t>일치옵션-&gt; 1, TRUE, 생략 : 비슷한값,   0, FALSE:정확한일치</t>
    <phoneticPr fontId="2" type="noConversion"/>
  </si>
  <si>
    <t>구미</t>
    <phoneticPr fontId="2" type="noConversion"/>
  </si>
  <si>
    <t>위치</t>
    <phoneticPr fontId="2" type="noConversion"/>
  </si>
  <si>
    <t>경기도</t>
    <phoneticPr fontId="2" type="noConversion"/>
  </si>
  <si>
    <t>경상남도</t>
    <phoneticPr fontId="2" type="noConversion"/>
  </si>
  <si>
    <t>경상북도</t>
    <phoneticPr fontId="2" type="noConversion"/>
  </si>
  <si>
    <t>전라남도</t>
    <phoneticPr fontId="2" type="noConversion"/>
  </si>
  <si>
    <t>충청북도</t>
    <phoneticPr fontId="2" type="noConversion"/>
  </si>
  <si>
    <t>온도</t>
    <phoneticPr fontId="2" type="noConversion"/>
  </si>
  <si>
    <t>VLOOKUP(H19,B20:D24,2,0)</t>
  </si>
  <si>
    <t>CHOOSE(3,"월","화","수","목","금","토","일")</t>
  </si>
  <si>
    <t>첫번째 인수에 해당하는 순번의 값 리턴</t>
    <phoneticPr fontId="2" type="noConversion"/>
  </si>
  <si>
    <t>INDEX(B20:D24,3,2)</t>
  </si>
  <si>
    <t>범위, 행번호, 열번호</t>
    <phoneticPr fontId="2" type="noConversion"/>
  </si>
  <si>
    <t>COLUMN(B19)</t>
  </si>
  <si>
    <t>COLUMN(D23)</t>
  </si>
  <si>
    <t>B:2번째열</t>
    <phoneticPr fontId="2" type="noConversion"/>
  </si>
  <si>
    <t>D:4번째열</t>
    <phoneticPr fontId="2" type="noConversion"/>
  </si>
  <si>
    <t>ROW(B19)</t>
  </si>
  <si>
    <t>19번째행</t>
    <phoneticPr fontId="2" type="noConversion"/>
  </si>
  <si>
    <t>ROW(D23)</t>
  </si>
  <si>
    <t>23번째행</t>
    <phoneticPr fontId="2" type="noConversion"/>
  </si>
  <si>
    <t>COLUMNS(B19:C24)</t>
  </si>
  <si>
    <t>COLUMNS(B19:F21)</t>
    <phoneticPr fontId="2" type="noConversion"/>
  </si>
  <si>
    <t>선택된 열갯수</t>
    <phoneticPr fontId="2" type="noConversion"/>
  </si>
  <si>
    <t>ROWS(B19:C24)</t>
  </si>
  <si>
    <t>선택된 행갯수</t>
    <phoneticPr fontId="2" type="noConversion"/>
  </si>
  <si>
    <t>ROWS(B19:F21)</t>
  </si>
  <si>
    <t>찾는값,찾을영역,일치옵션</t>
    <phoneticPr fontId="2" type="noConversion"/>
  </si>
  <si>
    <t>찾을영역에서 찾는값이 몇번째</t>
    <phoneticPr fontId="2" type="noConversion"/>
  </si>
  <si>
    <t>MATCH(B26,B20:B24,0)</t>
  </si>
  <si>
    <t>MATCH(B39,B33:B37,0)</t>
  </si>
  <si>
    <t>MATCH(B39,A33:A37,1)</t>
  </si>
  <si>
    <t>MATCH(B39,B33:B37,1)</t>
    <phoneticPr fontId="2" type="noConversion"/>
  </si>
  <si>
    <t>일치옵션: 0 - 일치, 
              1 - 작은값,일치 값 중에서 가장 큰값
              -1 - 큰값,일치값 중에서 가장 작은값</t>
    <phoneticPr fontId="2" type="noConversion"/>
  </si>
  <si>
    <t>MATCH(B39,A33:A37,-1)</t>
    <phoneticPr fontId="2" type="noConversion"/>
  </si>
  <si>
    <t>match(B39,B33:B37,-1)</t>
    <phoneticPr fontId="2" type="noConversion"/>
  </si>
  <si>
    <t>today()</t>
    <phoneticPr fontId="2" type="noConversion"/>
  </si>
  <si>
    <t>now()</t>
  </si>
  <si>
    <t>현재날짜</t>
    <phoneticPr fontId="2" type="noConversion"/>
  </si>
  <si>
    <t>현재날짜시간</t>
    <phoneticPr fontId="2" type="noConversion"/>
  </si>
  <si>
    <t>날짜-정수</t>
    <phoneticPr fontId="2" type="noConversion"/>
  </si>
  <si>
    <t>시간-소수</t>
    <phoneticPr fontId="2" type="noConversion"/>
  </si>
  <si>
    <t>DATE(1974,3,20)</t>
  </si>
  <si>
    <t>날짜만들기</t>
    <phoneticPr fontId="2" type="noConversion"/>
  </si>
  <si>
    <t>년,월,일</t>
    <phoneticPr fontId="2" type="noConversion"/>
  </si>
  <si>
    <t>DATE(1974,20,135)</t>
    <phoneticPr fontId="2" type="noConversion"/>
  </si>
  <si>
    <t>년월일의 값이 실제 날짜에 맞지 않아도 연산하여 처리</t>
    <phoneticPr fontId="2" type="noConversion"/>
  </si>
  <si>
    <t>time(17,35,42)</t>
    <phoneticPr fontId="2" type="noConversion"/>
  </si>
  <si>
    <t>시,분,초</t>
    <phoneticPr fontId="2" type="noConversion"/>
  </si>
  <si>
    <t>time(100,200,-300)</t>
    <phoneticPr fontId="2" type="noConversion"/>
  </si>
  <si>
    <t>DATE(1996,2,8)+TIME(15,23,45)</t>
  </si>
  <si>
    <t>시간만들기</t>
    <phoneticPr fontId="2" type="noConversion"/>
  </si>
  <si>
    <t>날짜+시간</t>
    <phoneticPr fontId="2" type="noConversion"/>
  </si>
  <si>
    <t>YEAR(NOW())</t>
  </si>
  <si>
    <t>month(now())</t>
  </si>
  <si>
    <t>day(now())</t>
  </si>
  <si>
    <t>weekday(now(),1)</t>
  </si>
  <si>
    <t>년</t>
    <phoneticPr fontId="2" type="noConversion"/>
  </si>
  <si>
    <t>일</t>
    <phoneticPr fontId="2" type="noConversion"/>
  </si>
  <si>
    <t>요일번호</t>
    <phoneticPr fontId="2" type="noConversion"/>
  </si>
  <si>
    <t>1- 일(1)~토(7)</t>
    <phoneticPr fontId="2" type="noConversion"/>
  </si>
  <si>
    <t>WEEKDAY(NOW(),2)</t>
  </si>
  <si>
    <t>2- 월(1)~일(7)</t>
    <phoneticPr fontId="2" type="noConversion"/>
  </si>
  <si>
    <t>3- 월(0)~일(6)</t>
    <phoneticPr fontId="2" type="noConversion"/>
  </si>
  <si>
    <t>WEEKDAY(NOW(),3)</t>
  </si>
  <si>
    <t>MINUTE(now())</t>
  </si>
  <si>
    <t>HOUR(NOW())</t>
  </si>
  <si>
    <t>SECOND(now())</t>
  </si>
  <si>
    <t>시</t>
    <phoneticPr fontId="2" type="noConversion"/>
  </si>
  <si>
    <t>분</t>
    <phoneticPr fontId="2" type="noConversion"/>
  </si>
  <si>
    <t>초</t>
    <phoneticPr fontId="2" type="noConversion"/>
  </si>
  <si>
    <t>날짜사이일수</t>
    <phoneticPr fontId="2" type="noConversion"/>
  </si>
  <si>
    <t>DAYS("2027-09-20","2026-08-05")</t>
    <phoneticPr fontId="2" type="noConversion"/>
  </si>
  <si>
    <t>DAYS("2026-08-05","2027-09-20")</t>
  </si>
  <si>
    <t>edate("2026-09-08",4)</t>
  </si>
  <si>
    <t>기준날짜에서 
숫자만큼의 월이동날짜</t>
    <phoneticPr fontId="2" type="noConversion"/>
  </si>
  <si>
    <t>EOMONTH("2026-09-08",2)</t>
    <phoneticPr fontId="2" type="noConversion"/>
  </si>
  <si>
    <t>기준날짜에서
 숫자만큼의 월이동한 월 마지막일</t>
    <phoneticPr fontId="2" type="noConversion"/>
  </si>
  <si>
    <t>WORKDAY("2026-09-08",10)</t>
    <phoneticPr fontId="2" type="noConversion"/>
  </si>
  <si>
    <t>기준날짜에서 
근무일기준 숫자만큼이동한 날짜(주말제외)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</si>
</sst>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  <numFmt numFmtId="185" formatCode="0.00000000_);[Red]\(0.00000000\)"/>
    <numFmt numFmtId="186" formatCode="yy&quot;-&quot;m&quot;-&quot;d\ h:mm;@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Consolas"/>
      <family val="3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69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quotePrefix="1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0" xfId="0" applyNumberFormat="1" applyFont="1" applyFill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41" fontId="5" fillId="0" borderId="1" xfId="3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85" fontId="0" fillId="0" borderId="0" xfId="0" applyNumberFormat="1">
      <alignment vertical="center"/>
    </xf>
    <xf numFmtId="18" fontId="0" fillId="0" borderId="0" xfId="0" applyNumberFormat="1">
      <alignment vertical="center"/>
    </xf>
    <xf numFmtId="186" fontId="0" fillId="0" borderId="0" xfId="0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20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2216-E208-41D8-BB54-8CB4BED716D4}">
  <dimension ref="A2:I41"/>
  <sheetViews>
    <sheetView topLeftCell="A22" zoomScale="175" zoomScaleNormal="175" workbookViewId="0">
      <selection activeCell="G35" sqref="G35"/>
    </sheetView>
  </sheetViews>
  <sheetFormatPr defaultRowHeight="16.5" x14ac:dyDescent="0.3"/>
  <cols>
    <col min="5" max="5" width="10.5" bestFit="1" customWidth="1"/>
  </cols>
  <sheetData>
    <row r="2" spans="2:9" x14ac:dyDescent="0.3">
      <c r="B2">
        <f>5+3</f>
        <v>8</v>
      </c>
    </row>
    <row r="3" spans="2:9" x14ac:dyDescent="0.3">
      <c r="B3" t="s">
        <v>1195</v>
      </c>
      <c r="D3" t="s">
        <v>1194</v>
      </c>
    </row>
    <row r="4" spans="2:9" ht="20.25" customHeight="1" x14ac:dyDescent="0.3">
      <c r="B4">
        <v>15</v>
      </c>
      <c r="D4">
        <v>7</v>
      </c>
      <c r="G4" t="s">
        <v>1193</v>
      </c>
      <c r="I4" t="s">
        <v>1182</v>
      </c>
    </row>
    <row r="5" spans="2:9" ht="20.25" customHeight="1" x14ac:dyDescent="0.3">
      <c r="B5" t="s">
        <v>1192</v>
      </c>
      <c r="C5" t="s">
        <v>1191</v>
      </c>
      <c r="D5" t="s">
        <v>1190</v>
      </c>
      <c r="E5" t="s">
        <v>1189</v>
      </c>
      <c r="G5" t="e">
        <f>G4+I4</f>
        <v>#VALUE!</v>
      </c>
      <c r="H5" t="e">
        <f>B4+G4</f>
        <v>#VALUE!</v>
      </c>
      <c r="I5" t="s">
        <v>1188</v>
      </c>
    </row>
    <row r="6" spans="2:9" x14ac:dyDescent="0.3">
      <c r="B6">
        <f>B4+D4</f>
        <v>22</v>
      </c>
      <c r="C6">
        <f>B4-D4</f>
        <v>8</v>
      </c>
      <c r="D6">
        <f>B4*D4</f>
        <v>105</v>
      </c>
      <c r="E6">
        <f>B4/D4</f>
        <v>2.1428571428571428</v>
      </c>
    </row>
    <row r="7" spans="2:9" x14ac:dyDescent="0.3">
      <c r="B7" s="122" t="s">
        <v>1187</v>
      </c>
    </row>
    <row r="8" spans="2:9" x14ac:dyDescent="0.3">
      <c r="B8" t="s">
        <v>1186</v>
      </c>
    </row>
    <row r="9" spans="2:9" x14ac:dyDescent="0.3">
      <c r="B9" t="s">
        <v>1185</v>
      </c>
    </row>
    <row r="10" spans="2:9" x14ac:dyDescent="0.3">
      <c r="B10" t="str">
        <f>B4&amp;D4</f>
        <v>157</v>
      </c>
      <c r="C10" t="str">
        <f>G4&amp;I4</f>
        <v>아기상어엄마상어</v>
      </c>
      <c r="E10" t="str">
        <f>B4&amp;G4</f>
        <v>15아기상어</v>
      </c>
    </row>
    <row r="11" spans="2:9" x14ac:dyDescent="0.3">
      <c r="B11" t="s">
        <v>1184</v>
      </c>
      <c r="D11" t="s">
        <v>1183</v>
      </c>
    </row>
    <row r="12" spans="2:9" x14ac:dyDescent="0.3">
      <c r="B12" t="s">
        <v>1182</v>
      </c>
      <c r="C12" t="s">
        <v>1181</v>
      </c>
    </row>
    <row r="13" spans="2:9" x14ac:dyDescent="0.3">
      <c r="B13" t="b">
        <f>B12&gt;C12</f>
        <v>0</v>
      </c>
      <c r="C13" t="s">
        <v>1180</v>
      </c>
      <c r="D13" t="s">
        <v>1179</v>
      </c>
    </row>
    <row r="14" spans="2:9" x14ac:dyDescent="0.3">
      <c r="B14" t="b">
        <f>B12&gt;=C12</f>
        <v>0</v>
      </c>
      <c r="C14" t="s">
        <v>1178</v>
      </c>
      <c r="D14" t="s">
        <v>1177</v>
      </c>
    </row>
    <row r="15" spans="2:9" x14ac:dyDescent="0.3">
      <c r="B15" t="b">
        <f>B12&lt;=C12</f>
        <v>1</v>
      </c>
      <c r="C15" t="s">
        <v>1176</v>
      </c>
      <c r="D15" t="s">
        <v>1175</v>
      </c>
    </row>
    <row r="16" spans="2:9" x14ac:dyDescent="0.3">
      <c r="B16" t="b">
        <f>B12&lt;C12</f>
        <v>1</v>
      </c>
      <c r="C16" t="s">
        <v>1174</v>
      </c>
      <c r="D16" t="s">
        <v>1173</v>
      </c>
    </row>
    <row r="17" spans="1:9" x14ac:dyDescent="0.3">
      <c r="B17" t="b">
        <f>B12=C12</f>
        <v>0</v>
      </c>
      <c r="C17" s="122" t="s">
        <v>1172</v>
      </c>
      <c r="D17" t="s">
        <v>1171</v>
      </c>
    </row>
    <row r="18" spans="1:9" x14ac:dyDescent="0.3">
      <c r="B18" t="b">
        <f>B12&lt;&gt;C12</f>
        <v>1</v>
      </c>
      <c r="C18" t="s">
        <v>1170</v>
      </c>
      <c r="D18" t="s">
        <v>1169</v>
      </c>
      <c r="G18" t="s">
        <v>1168</v>
      </c>
    </row>
    <row r="19" spans="1:9" x14ac:dyDescent="0.3">
      <c r="G19" t="s">
        <v>1167</v>
      </c>
    </row>
    <row r="20" spans="1:9" x14ac:dyDescent="0.3">
      <c r="B20">
        <v>80</v>
      </c>
      <c r="C20">
        <v>110</v>
      </c>
      <c r="D20">
        <v>1</v>
      </c>
      <c r="G20">
        <f t="shared" ref="G20:H25" si="0">B20+C20</f>
        <v>190</v>
      </c>
      <c r="H20">
        <f t="shared" si="0"/>
        <v>111</v>
      </c>
    </row>
    <row r="21" spans="1:9" x14ac:dyDescent="0.3">
      <c r="B21">
        <v>78</v>
      </c>
      <c r="C21">
        <v>120</v>
      </c>
      <c r="D21">
        <v>3</v>
      </c>
      <c r="G21">
        <f t="shared" si="0"/>
        <v>198</v>
      </c>
      <c r="H21">
        <f t="shared" si="0"/>
        <v>123</v>
      </c>
    </row>
    <row r="22" spans="1:9" x14ac:dyDescent="0.3">
      <c r="B22">
        <v>96</v>
      </c>
      <c r="C22">
        <v>150</v>
      </c>
      <c r="D22">
        <v>5</v>
      </c>
      <c r="G22">
        <f t="shared" si="0"/>
        <v>246</v>
      </c>
      <c r="H22">
        <f t="shared" si="0"/>
        <v>155</v>
      </c>
    </row>
    <row r="23" spans="1:9" x14ac:dyDescent="0.3">
      <c r="B23">
        <v>35</v>
      </c>
      <c r="C23">
        <v>160</v>
      </c>
      <c r="D23">
        <v>6</v>
      </c>
      <c r="G23">
        <f t="shared" si="0"/>
        <v>195</v>
      </c>
      <c r="H23">
        <f t="shared" si="0"/>
        <v>166</v>
      </c>
    </row>
    <row r="24" spans="1:9" x14ac:dyDescent="0.3">
      <c r="B24">
        <v>42</v>
      </c>
      <c r="C24">
        <v>178</v>
      </c>
      <c r="D24">
        <v>7</v>
      </c>
      <c r="G24">
        <f t="shared" si="0"/>
        <v>220</v>
      </c>
      <c r="H24">
        <f t="shared" si="0"/>
        <v>185</v>
      </c>
    </row>
    <row r="25" spans="1:9" x14ac:dyDescent="0.3">
      <c r="B25">
        <v>12</v>
      </c>
      <c r="C25">
        <v>190</v>
      </c>
      <c r="D25">
        <v>4</v>
      </c>
      <c r="G25">
        <f t="shared" si="0"/>
        <v>202</v>
      </c>
      <c r="H25">
        <f t="shared" si="0"/>
        <v>194</v>
      </c>
    </row>
    <row r="26" spans="1:9" x14ac:dyDescent="0.3">
      <c r="G26" t="s">
        <v>1166</v>
      </c>
    </row>
    <row r="27" spans="1:9" x14ac:dyDescent="0.3">
      <c r="G27" t="s">
        <v>1165</v>
      </c>
    </row>
    <row r="28" spans="1:9" x14ac:dyDescent="0.3">
      <c r="A28" t="s">
        <v>1164</v>
      </c>
      <c r="B28">
        <v>20</v>
      </c>
      <c r="G28">
        <f t="shared" ref="G28:I33" si="1">B20+$B$28</f>
        <v>100</v>
      </c>
      <c r="H28">
        <f t="shared" si="1"/>
        <v>130</v>
      </c>
      <c r="I28">
        <f t="shared" si="1"/>
        <v>21</v>
      </c>
    </row>
    <row r="29" spans="1:9" x14ac:dyDescent="0.3">
      <c r="G29">
        <f t="shared" si="1"/>
        <v>98</v>
      </c>
      <c r="H29">
        <f t="shared" si="1"/>
        <v>140</v>
      </c>
      <c r="I29">
        <f t="shared" si="1"/>
        <v>23</v>
      </c>
    </row>
    <row r="30" spans="1:9" x14ac:dyDescent="0.3">
      <c r="G30">
        <f t="shared" si="1"/>
        <v>116</v>
      </c>
      <c r="H30">
        <f t="shared" si="1"/>
        <v>170</v>
      </c>
      <c r="I30">
        <f t="shared" si="1"/>
        <v>25</v>
      </c>
    </row>
    <row r="31" spans="1:9" x14ac:dyDescent="0.3">
      <c r="G31">
        <f t="shared" si="1"/>
        <v>55</v>
      </c>
      <c r="H31">
        <f t="shared" si="1"/>
        <v>180</v>
      </c>
      <c r="I31">
        <f t="shared" si="1"/>
        <v>26</v>
      </c>
    </row>
    <row r="32" spans="1:9" x14ac:dyDescent="0.3">
      <c r="G32">
        <f t="shared" si="1"/>
        <v>62</v>
      </c>
      <c r="H32">
        <f t="shared" si="1"/>
        <v>198</v>
      </c>
      <c r="I32">
        <f t="shared" si="1"/>
        <v>27</v>
      </c>
    </row>
    <row r="33" spans="1:9" x14ac:dyDescent="0.3">
      <c r="G33">
        <f t="shared" si="1"/>
        <v>32</v>
      </c>
      <c r="H33">
        <f t="shared" si="1"/>
        <v>210</v>
      </c>
      <c r="I33">
        <f t="shared" si="1"/>
        <v>24</v>
      </c>
    </row>
    <row r="34" spans="1:9" x14ac:dyDescent="0.3">
      <c r="G34" t="s">
        <v>1163</v>
      </c>
    </row>
    <row r="35" spans="1:9" x14ac:dyDescent="0.3">
      <c r="G35" t="s">
        <v>1162</v>
      </c>
    </row>
    <row r="36" spans="1:9" x14ac:dyDescent="0.3">
      <c r="A36" t="s">
        <v>1161</v>
      </c>
      <c r="B36">
        <v>0.5</v>
      </c>
      <c r="C36">
        <v>0.3</v>
      </c>
      <c r="D36">
        <v>5</v>
      </c>
      <c r="G36">
        <f t="shared" ref="G36:I41" si="2">B20*B$36</f>
        <v>40</v>
      </c>
      <c r="H36">
        <f t="shared" si="2"/>
        <v>33</v>
      </c>
      <c r="I36">
        <f t="shared" si="2"/>
        <v>5</v>
      </c>
    </row>
    <row r="37" spans="1:9" x14ac:dyDescent="0.3">
      <c r="G37">
        <f t="shared" si="2"/>
        <v>39</v>
      </c>
      <c r="H37">
        <f t="shared" si="2"/>
        <v>36</v>
      </c>
      <c r="I37">
        <f t="shared" si="2"/>
        <v>15</v>
      </c>
    </row>
    <row r="38" spans="1:9" x14ac:dyDescent="0.3">
      <c r="G38">
        <f t="shared" si="2"/>
        <v>48</v>
      </c>
      <c r="H38">
        <f t="shared" si="2"/>
        <v>45</v>
      </c>
      <c r="I38">
        <f t="shared" si="2"/>
        <v>25</v>
      </c>
    </row>
    <row r="39" spans="1:9" x14ac:dyDescent="0.3">
      <c r="G39">
        <f t="shared" si="2"/>
        <v>17.5</v>
      </c>
      <c r="H39">
        <f t="shared" si="2"/>
        <v>48</v>
      </c>
      <c r="I39">
        <f t="shared" si="2"/>
        <v>30</v>
      </c>
    </row>
    <row r="40" spans="1:9" x14ac:dyDescent="0.3">
      <c r="G40">
        <f t="shared" si="2"/>
        <v>21</v>
      </c>
      <c r="H40">
        <f t="shared" si="2"/>
        <v>53.4</v>
      </c>
      <c r="I40">
        <f t="shared" si="2"/>
        <v>35</v>
      </c>
    </row>
    <row r="41" spans="1:9" x14ac:dyDescent="0.3">
      <c r="G41">
        <f t="shared" si="2"/>
        <v>6</v>
      </c>
      <c r="H41">
        <f t="shared" si="2"/>
        <v>57</v>
      </c>
      <c r="I41">
        <f t="shared" si="2"/>
        <v>20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C13" zoomScale="145" zoomScaleNormal="145" workbookViewId="0">
      <selection activeCell="E26" sqref="E26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 x14ac:dyDescent="0.3">
      <c r="A3" s="83" t="s">
        <v>12</v>
      </c>
      <c r="B3" s="83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3" t="s">
        <v>14</v>
      </c>
      <c r="B4" s="83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3" t="s">
        <v>16</v>
      </c>
      <c r="B5" s="83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3" t="s">
        <v>18</v>
      </c>
      <c r="B6" s="83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3" t="s">
        <v>20</v>
      </c>
      <c r="B7" s="83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3" t="s">
        <v>22</v>
      </c>
      <c r="B8" s="83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 x14ac:dyDescent="0.3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>
        <f>(H12*$G$20)*(1-$H$20)</f>
        <v>15000000</v>
      </c>
    </row>
    <row r="13" spans="1:9" x14ac:dyDescent="0.3">
      <c r="A13" s="83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3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3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3" t="s">
        <v>41</v>
      </c>
      <c r="H14" s="10">
        <v>56</v>
      </c>
      <c r="I14" s="18">
        <f t="shared" si="2"/>
        <v>11200000</v>
      </c>
    </row>
    <row r="15" spans="1:9" x14ac:dyDescent="0.3">
      <c r="A15" s="83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3" t="s">
        <v>43</v>
      </c>
      <c r="H15" s="10">
        <v>76</v>
      </c>
      <c r="I15" s="18">
        <f t="shared" si="2"/>
        <v>15200000</v>
      </c>
    </row>
    <row r="16" spans="1:9" x14ac:dyDescent="0.3">
      <c r="A16" s="83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3" t="s">
        <v>45</v>
      </c>
      <c r="H16" s="10">
        <v>56</v>
      </c>
      <c r="I16" s="18">
        <f t="shared" si="2"/>
        <v>11200000</v>
      </c>
    </row>
    <row r="17" spans="1:9" x14ac:dyDescent="0.3">
      <c r="A17" s="83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3" t="s">
        <v>47</v>
      </c>
      <c r="H17" s="10">
        <v>85</v>
      </c>
      <c r="I17" s="18">
        <f t="shared" si="2"/>
        <v>17000000</v>
      </c>
    </row>
    <row r="18" spans="1:9" x14ac:dyDescent="0.3">
      <c r="A18" s="139" t="s">
        <v>48</v>
      </c>
      <c r="B18" s="139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 x14ac:dyDescent="0.3">
      <c r="A22" s="83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3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3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3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3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3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40" t="s">
        <v>63</v>
      </c>
      <c r="B28" s="141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40" t="s">
        <v>64</v>
      </c>
      <c r="B29" s="141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39" t="s">
        <v>48</v>
      </c>
      <c r="B18" s="139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40" t="s">
        <v>63</v>
      </c>
      <c r="B28" s="141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40" t="s">
        <v>64</v>
      </c>
      <c r="B29" s="141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5BBDF-EB6A-4DF5-92C4-A1CA79E43554}">
  <dimension ref="B1:K14"/>
  <sheetViews>
    <sheetView topLeftCell="B1" zoomScale="145" zoomScaleNormal="145" workbookViewId="0">
      <selection activeCell="G11" sqref="G11"/>
    </sheetView>
  </sheetViews>
  <sheetFormatPr defaultRowHeight="16.5" x14ac:dyDescent="0.3"/>
  <cols>
    <col min="10" max="10" width="10.5" bestFit="1" customWidth="1"/>
  </cols>
  <sheetData>
    <row r="1" spans="2:11" x14ac:dyDescent="0.3">
      <c r="G1" t="s">
        <v>1331</v>
      </c>
    </row>
    <row r="2" spans="2:11" x14ac:dyDescent="0.3">
      <c r="B2" t="s">
        <v>304</v>
      </c>
      <c r="C2" t="s">
        <v>1254</v>
      </c>
      <c r="D2" t="s">
        <v>1255</v>
      </c>
      <c r="E2" t="s">
        <v>180</v>
      </c>
      <c r="G2" t="s">
        <v>1327</v>
      </c>
      <c r="J2">
        <f>DSUM(B2:E11,2,G13:G14)</f>
        <v>102</v>
      </c>
    </row>
    <row r="3" spans="2:11" x14ac:dyDescent="0.3">
      <c r="B3" t="s">
        <v>1256</v>
      </c>
      <c r="C3">
        <v>78</v>
      </c>
      <c r="D3">
        <f ca="1">INT(RAND()*70+30)</f>
        <v>56</v>
      </c>
      <c r="E3">
        <f ca="1">RANDBETWEEN(30,70)</f>
        <v>62</v>
      </c>
      <c r="G3" t="s">
        <v>1328</v>
      </c>
      <c r="J3" t="s">
        <v>1329</v>
      </c>
    </row>
    <row r="4" spans="2:11" x14ac:dyDescent="0.3">
      <c r="B4" t="s">
        <v>1257</v>
      </c>
      <c r="C4">
        <v>52</v>
      </c>
      <c r="D4">
        <f t="shared" ref="D4:D6" ca="1" si="0">INT(RAND()*70+30)</f>
        <v>79</v>
      </c>
      <c r="E4">
        <f t="shared" ref="E4:E11" ca="1" si="1">RANDBETWEEN(30,70)</f>
        <v>59</v>
      </c>
      <c r="G4" t="s">
        <v>1330</v>
      </c>
      <c r="J4">
        <f>DAVERAGE(B2:E11,C2,G13:G14)</f>
        <v>34</v>
      </c>
    </row>
    <row r="5" spans="2:11" x14ac:dyDescent="0.3">
      <c r="D5">
        <f t="shared" ca="1" si="0"/>
        <v>77</v>
      </c>
      <c r="E5">
        <f t="shared" ca="1" si="1"/>
        <v>34</v>
      </c>
      <c r="G5" t="s">
        <v>1332</v>
      </c>
      <c r="J5">
        <f>DCOUNT(B2:E11,2,G13:G14)</f>
        <v>3</v>
      </c>
      <c r="K5">
        <f ca="1">DCOUNT(B2:E11,3,G13:G14)</f>
        <v>1</v>
      </c>
    </row>
    <row r="6" spans="2:11" x14ac:dyDescent="0.3">
      <c r="B6" t="s">
        <v>1256</v>
      </c>
      <c r="C6">
        <v>24</v>
      </c>
      <c r="D6">
        <f t="shared" ca="1" si="0"/>
        <v>87</v>
      </c>
      <c r="E6">
        <f t="shared" ca="1" si="1"/>
        <v>65</v>
      </c>
      <c r="G6" t="s">
        <v>1333</v>
      </c>
      <c r="J6">
        <f>DCOUNTA(B2:E11,2,G13:G14)</f>
        <v>3</v>
      </c>
      <c r="K6">
        <f ca="1">DCOUNTA(B2:E11,3,G13:G14)</f>
        <v>2</v>
      </c>
    </row>
    <row r="7" spans="2:11" x14ac:dyDescent="0.3">
      <c r="B7" t="s">
        <v>1257</v>
      </c>
      <c r="C7">
        <v>18</v>
      </c>
      <c r="E7">
        <f t="shared" ca="1" si="1"/>
        <v>45</v>
      </c>
      <c r="G7" t="s">
        <v>1334</v>
      </c>
      <c r="J7">
        <f>DMAX(B2:E11,C2,G13:G14)</f>
        <v>52</v>
      </c>
    </row>
    <row r="8" spans="2:11" x14ac:dyDescent="0.3">
      <c r="B8" t="s">
        <v>1258</v>
      </c>
      <c r="C8">
        <v>35</v>
      </c>
      <c r="E8">
        <f t="shared" ca="1" si="1"/>
        <v>66</v>
      </c>
      <c r="G8" t="s">
        <v>1335</v>
      </c>
      <c r="J8">
        <f>DMIN(B2:E11,C2,G13:G14)</f>
        <v>18</v>
      </c>
    </row>
    <row r="9" spans="2:11" x14ac:dyDescent="0.3">
      <c r="B9" t="s">
        <v>1258</v>
      </c>
      <c r="C9">
        <v>91</v>
      </c>
      <c r="D9">
        <f ca="1">TRUNC(RAND()*70+30,2)</f>
        <v>35.07</v>
      </c>
      <c r="E9">
        <f t="shared" ca="1" si="1"/>
        <v>55</v>
      </c>
      <c r="G9" t="s">
        <v>1336</v>
      </c>
      <c r="J9">
        <f>DSTDEV(B2:E11,C2,G13:G14)</f>
        <v>17.088007490635061</v>
      </c>
    </row>
    <row r="10" spans="2:11" x14ac:dyDescent="0.3">
      <c r="B10" t="s">
        <v>1256</v>
      </c>
      <c r="C10">
        <v>82</v>
      </c>
      <c r="D10">
        <f t="shared" ref="D10" ca="1" si="2">TRUNC(RAND()*70+30,2)</f>
        <v>97.25</v>
      </c>
      <c r="E10">
        <f t="shared" ca="1" si="1"/>
        <v>49</v>
      </c>
      <c r="G10" t="s">
        <v>1337</v>
      </c>
      <c r="J10">
        <f>DVAR(B2:E11,C2,G13:G14)</f>
        <v>292</v>
      </c>
    </row>
    <row r="11" spans="2:11" x14ac:dyDescent="0.3">
      <c r="B11" t="s">
        <v>1257</v>
      </c>
      <c r="C11">
        <v>32</v>
      </c>
      <c r="D11" t="s">
        <v>1303</v>
      </c>
      <c r="E11">
        <f t="shared" ca="1" si="1"/>
        <v>59</v>
      </c>
    </row>
    <row r="13" spans="2:11" x14ac:dyDescent="0.3">
      <c r="G13" t="s">
        <v>304</v>
      </c>
    </row>
    <row r="14" spans="2:11" x14ac:dyDescent="0.3">
      <c r="G14" t="s">
        <v>1257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1"/>
  <sheetViews>
    <sheetView topLeftCell="H31" zoomScale="160" zoomScaleNormal="160" workbookViewId="0">
      <selection activeCell="L40" sqref="L40:N40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 x14ac:dyDescent="0.3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 x14ac:dyDescent="0.3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 x14ac:dyDescent="0.3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 x14ac:dyDescent="0.3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 x14ac:dyDescent="0.3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 x14ac:dyDescent="0.3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 x14ac:dyDescent="0.3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127" t="s">
        <v>69</v>
      </c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127" t="s">
        <v>74</v>
      </c>
      <c r="N9" s="127" t="s">
        <v>76</v>
      </c>
    </row>
    <row r="10" spans="1:14" x14ac:dyDescent="0.3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127" t="s">
        <v>83</v>
      </c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127" t="s">
        <v>97</v>
      </c>
      <c r="N10" s="83" t="s">
        <v>1128</v>
      </c>
    </row>
    <row r="11" spans="1:14" x14ac:dyDescent="0.3">
      <c r="A11" s="145" t="s">
        <v>110</v>
      </c>
      <c r="B11" s="146"/>
      <c r="C11" s="146"/>
      <c r="D11" s="147"/>
      <c r="E11" s="30" t="str">
        <f>DSUM(A2:E10,5,G9:G10)&amp;"매"</f>
        <v>4751매</v>
      </c>
      <c r="F11" s="26"/>
      <c r="G11" s="26"/>
      <c r="H11" s="26"/>
      <c r="I11" s="148" t="s">
        <v>111</v>
      </c>
      <c r="J11" s="148"/>
      <c r="K11" s="148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 x14ac:dyDescent="0.3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 x14ac:dyDescent="0.3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 x14ac:dyDescent="0.3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 x14ac:dyDescent="0.3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 x14ac:dyDescent="0.3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 x14ac:dyDescent="0.3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 x14ac:dyDescent="0.3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 x14ac:dyDescent="0.3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 x14ac:dyDescent="0.3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 x14ac:dyDescent="0.3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127" t="s">
        <v>116</v>
      </c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48" t="s">
        <v>166</v>
      </c>
      <c r="N24" s="148"/>
    </row>
    <row r="25" spans="1:14" x14ac:dyDescent="0.3">
      <c r="A25" s="148" t="s">
        <v>167</v>
      </c>
      <c r="B25" s="148"/>
      <c r="C25" s="148"/>
      <c r="D25" s="148"/>
      <c r="E25" s="83" t="str">
        <f>DCOUNTA(B14:E24,C14,G24:G25)&amp;"명"</f>
        <v>2명</v>
      </c>
      <c r="F25" s="26"/>
      <c r="G25" s="127" t="s">
        <v>132</v>
      </c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49">
        <f>DMAX(I14:L25,L14,J14:J15)-DMIN(I14:L25,L14,J14:J15)</f>
        <v>300000</v>
      </c>
      <c r="N25" s="149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45" t="s">
        <v>212</v>
      </c>
      <c r="B39" s="146"/>
      <c r="C39" s="147"/>
      <c r="D39" s="83" t="str">
        <f>DCOUNT(A28:D38,D28,C28:C29)&amp;"명"</f>
        <v>3명</v>
      </c>
      <c r="E39" s="26"/>
      <c r="F39" s="26"/>
      <c r="G39" s="26"/>
      <c r="H39" s="26"/>
      <c r="I39" s="127" t="s">
        <v>174</v>
      </c>
      <c r="J39" s="127" t="s">
        <v>179</v>
      </c>
      <c r="K39" s="127" t="s">
        <v>180</v>
      </c>
      <c r="L39" s="145" t="s">
        <v>213</v>
      </c>
      <c r="M39" s="146"/>
      <c r="N39" s="147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127" t="s">
        <v>188</v>
      </c>
      <c r="J40" s="14" t="s">
        <v>1129</v>
      </c>
      <c r="K40" s="26"/>
      <c r="L40" s="142">
        <f>DAVERAGE(I28:N37,N28,I39:K41)</f>
        <v>272.5</v>
      </c>
      <c r="M40" s="143"/>
      <c r="N40" s="144"/>
    </row>
    <row r="41" spans="1:14" x14ac:dyDescent="0.3">
      <c r="I41" s="127" t="s">
        <v>183</v>
      </c>
      <c r="K41" t="s">
        <v>1129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 x14ac:dyDescent="0.3">
      <c r="A11" s="145" t="s">
        <v>110</v>
      </c>
      <c r="B11" s="146"/>
      <c r="C11" s="146"/>
      <c r="D11" s="147"/>
      <c r="E11" s="30" t="str">
        <f>DSUM(A2:E10,E2,G9:G10)&amp;"매"</f>
        <v>4751매</v>
      </c>
      <c r="F11" s="26"/>
      <c r="G11" s="26"/>
      <c r="H11" s="26"/>
      <c r="I11" s="148" t="s">
        <v>111</v>
      </c>
      <c r="J11" s="148"/>
      <c r="K11" s="148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48" t="s">
        <v>166</v>
      </c>
      <c r="N24" s="148"/>
    </row>
    <row r="25" spans="1:14" x14ac:dyDescent="0.3">
      <c r="A25" s="148" t="s">
        <v>167</v>
      </c>
      <c r="B25" s="148"/>
      <c r="C25" s="148"/>
      <c r="D25" s="148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49">
        <f>DMAX(I14:L25,L14,J14:J15)-DMIN(I14:L25,L14,J14:J15)</f>
        <v>300000</v>
      </c>
      <c r="N25" s="149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45" t="s">
        <v>212</v>
      </c>
      <c r="B39" s="146"/>
      <c r="C39" s="147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45" t="s">
        <v>213</v>
      </c>
      <c r="M39" s="146"/>
      <c r="N39" s="147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42">
        <f>DAVERAGE(I28:N37,6,I39:K41)</f>
        <v>272.5</v>
      </c>
      <c r="M40" s="143"/>
      <c r="N40" s="144"/>
    </row>
    <row r="41" spans="1:14" x14ac:dyDescent="0.3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03234-19D0-4D93-B106-DABD1D66BF2D}">
  <dimension ref="B2:M37"/>
  <sheetViews>
    <sheetView zoomScale="145" zoomScaleNormal="145" workbookViewId="0">
      <selection activeCell="B4" sqref="B4:E13"/>
    </sheetView>
  </sheetViews>
  <sheetFormatPr defaultRowHeight="16.5" x14ac:dyDescent="0.3"/>
  <cols>
    <col min="2" max="2" width="14.875" customWidth="1"/>
    <col min="3" max="4" width="12.75" bestFit="1" customWidth="1"/>
    <col min="7" max="7" width="9.25" bestFit="1" customWidth="1"/>
    <col min="9" max="9" width="10.5" bestFit="1" customWidth="1"/>
  </cols>
  <sheetData>
    <row r="2" spans="2:13" x14ac:dyDescent="0.3">
      <c r="I2">
        <f>SUM(11,33,56,78,9,100)</f>
        <v>287</v>
      </c>
      <c r="J2" t="s">
        <v>1259</v>
      </c>
      <c r="M2" t="s">
        <v>1260</v>
      </c>
    </row>
    <row r="3" spans="2:13" x14ac:dyDescent="0.3">
      <c r="J3" t="s">
        <v>1261</v>
      </c>
      <c r="M3" t="s">
        <v>1262</v>
      </c>
    </row>
    <row r="4" spans="2:13" x14ac:dyDescent="0.3">
      <c r="B4" t="s">
        <v>304</v>
      </c>
      <c r="C4" t="s">
        <v>1254</v>
      </c>
      <c r="D4" t="s">
        <v>1255</v>
      </c>
      <c r="E4" t="s">
        <v>180</v>
      </c>
      <c r="G4" t="s">
        <v>1322</v>
      </c>
      <c r="H4" t="s">
        <v>1323</v>
      </c>
      <c r="J4" t="s">
        <v>1263</v>
      </c>
      <c r="M4" t="s">
        <v>1264</v>
      </c>
    </row>
    <row r="5" spans="2:13" x14ac:dyDescent="0.3">
      <c r="B5" t="s">
        <v>1256</v>
      </c>
      <c r="C5">
        <v>78</v>
      </c>
      <c r="D5">
        <f ca="1">INT(RAND()*70+30)</f>
        <v>42</v>
      </c>
      <c r="E5">
        <f ca="1">RANDBETWEEN(30,70)</f>
        <v>68</v>
      </c>
      <c r="G5">
        <f ca="1">_xlfn.RANK.EQ(E5,$E$5:$E$13)</f>
        <v>1</v>
      </c>
      <c r="H5">
        <f ca="1">_xlfn.RANK.EQ(E5,$E$5:$E$13,1)</f>
        <v>8</v>
      </c>
      <c r="J5" t="s">
        <v>1265</v>
      </c>
      <c r="M5" t="s">
        <v>1266</v>
      </c>
    </row>
    <row r="6" spans="2:13" x14ac:dyDescent="0.3">
      <c r="B6" t="s">
        <v>1257</v>
      </c>
      <c r="C6">
        <v>52</v>
      </c>
      <c r="D6">
        <f t="shared" ref="D6:D8" ca="1" si="0">INT(RAND()*70+30)</f>
        <v>39</v>
      </c>
      <c r="E6">
        <f t="shared" ref="E6:E13" ca="1" si="1">RANDBETWEEN(30,70)</f>
        <v>64</v>
      </c>
      <c r="G6">
        <f t="shared" ref="G6:G13" ca="1" si="2">_xlfn.RANK.EQ(E6,$E$5:$E$13)</f>
        <v>3</v>
      </c>
      <c r="H6">
        <f t="shared" ref="H6:H13" ca="1" si="3">_xlfn.RANK.EQ(E6,$E$5:$E$13,1)</f>
        <v>7</v>
      </c>
    </row>
    <row r="7" spans="2:13" x14ac:dyDescent="0.3">
      <c r="D7">
        <f t="shared" ca="1" si="0"/>
        <v>89</v>
      </c>
      <c r="E7">
        <f t="shared" ca="1" si="1"/>
        <v>57</v>
      </c>
      <c r="G7">
        <f t="shared" ca="1" si="2"/>
        <v>5</v>
      </c>
      <c r="H7">
        <f t="shared" ca="1" si="3"/>
        <v>5</v>
      </c>
      <c r="J7" t="s">
        <v>1267</v>
      </c>
      <c r="M7" t="s">
        <v>1268</v>
      </c>
    </row>
    <row r="8" spans="2:13" x14ac:dyDescent="0.3">
      <c r="B8" t="s">
        <v>1256</v>
      </c>
      <c r="C8">
        <v>24</v>
      </c>
      <c r="D8">
        <f t="shared" ca="1" si="0"/>
        <v>69</v>
      </c>
      <c r="E8">
        <f t="shared" ca="1" si="1"/>
        <v>30</v>
      </c>
      <c r="G8">
        <f t="shared" ca="1" si="2"/>
        <v>9</v>
      </c>
      <c r="H8">
        <f t="shared" ca="1" si="3"/>
        <v>1</v>
      </c>
      <c r="J8" t="s">
        <v>1269</v>
      </c>
      <c r="M8" t="s">
        <v>1270</v>
      </c>
    </row>
    <row r="9" spans="2:13" x14ac:dyDescent="0.3">
      <c r="B9" t="s">
        <v>1257</v>
      </c>
      <c r="C9">
        <v>18</v>
      </c>
      <c r="E9">
        <f t="shared" ca="1" si="1"/>
        <v>62</v>
      </c>
      <c r="G9">
        <f t="shared" ca="1" si="2"/>
        <v>4</v>
      </c>
      <c r="H9">
        <f t="shared" ca="1" si="3"/>
        <v>6</v>
      </c>
    </row>
    <row r="10" spans="2:13" x14ac:dyDescent="0.3">
      <c r="B10" t="s">
        <v>1258</v>
      </c>
      <c r="C10">
        <v>35</v>
      </c>
      <c r="E10">
        <f t="shared" ca="1" si="1"/>
        <v>54</v>
      </c>
      <c r="G10">
        <f t="shared" ca="1" si="2"/>
        <v>6</v>
      </c>
      <c r="H10">
        <f t="shared" ca="1" si="3"/>
        <v>4</v>
      </c>
      <c r="J10" t="s">
        <v>1271</v>
      </c>
      <c r="M10" t="s">
        <v>1272</v>
      </c>
    </row>
    <row r="11" spans="2:13" x14ac:dyDescent="0.3">
      <c r="B11" t="s">
        <v>1258</v>
      </c>
      <c r="C11">
        <v>91</v>
      </c>
      <c r="D11">
        <f ca="1">TRUNC(RAND()*70+30,2)</f>
        <v>40.75</v>
      </c>
      <c r="E11">
        <f t="shared" ca="1" si="1"/>
        <v>41</v>
      </c>
      <c r="G11">
        <f t="shared" ca="1" si="2"/>
        <v>8</v>
      </c>
      <c r="H11">
        <f t="shared" ca="1" si="3"/>
        <v>2</v>
      </c>
      <c r="J11" t="s">
        <v>1273</v>
      </c>
      <c r="M11" t="s">
        <v>1274</v>
      </c>
    </row>
    <row r="12" spans="2:13" x14ac:dyDescent="0.3">
      <c r="B12" t="s">
        <v>1256</v>
      </c>
      <c r="C12">
        <v>82</v>
      </c>
      <c r="D12">
        <f t="shared" ref="D12" ca="1" si="4">TRUNC(RAND()*70+30,2)</f>
        <v>62.96</v>
      </c>
      <c r="E12">
        <f t="shared" ca="1" si="1"/>
        <v>68</v>
      </c>
      <c r="G12">
        <f t="shared" ca="1" si="2"/>
        <v>1</v>
      </c>
      <c r="H12">
        <f t="shared" ca="1" si="3"/>
        <v>8</v>
      </c>
    </row>
    <row r="13" spans="2:13" x14ac:dyDescent="0.3">
      <c r="B13" t="s">
        <v>1257</v>
      </c>
      <c r="C13">
        <v>32</v>
      </c>
      <c r="D13" t="s">
        <v>1303</v>
      </c>
      <c r="E13">
        <f t="shared" ca="1" si="1"/>
        <v>52</v>
      </c>
      <c r="G13">
        <f t="shared" ca="1" si="2"/>
        <v>7</v>
      </c>
      <c r="H13">
        <f t="shared" ca="1" si="3"/>
        <v>3</v>
      </c>
      <c r="J13" t="s">
        <v>1276</v>
      </c>
      <c r="M13" t="s">
        <v>1277</v>
      </c>
    </row>
    <row r="15" spans="2:13" x14ac:dyDescent="0.3">
      <c r="B15" t="s">
        <v>1275</v>
      </c>
      <c r="C15">
        <f>SUM(C5:C13)</f>
        <v>412</v>
      </c>
      <c r="D15">
        <f t="shared" ref="D15:E15" ca="1" si="5">SUM(D5:D13)</f>
        <v>342.71</v>
      </c>
      <c r="E15">
        <f t="shared" ca="1" si="5"/>
        <v>496</v>
      </c>
    </row>
    <row r="16" spans="2:13" x14ac:dyDescent="0.3">
      <c r="B16" t="s">
        <v>1304</v>
      </c>
      <c r="C16">
        <f>COUNT(C5:C13)</f>
        <v>8</v>
      </c>
      <c r="D16">
        <f t="shared" ref="D16:E16" ca="1" si="6">COUNT(D5:D13)</f>
        <v>6</v>
      </c>
      <c r="E16">
        <f t="shared" ca="1" si="6"/>
        <v>9</v>
      </c>
      <c r="F16" t="s">
        <v>1307</v>
      </c>
    </row>
    <row r="17" spans="2:13" x14ac:dyDescent="0.3">
      <c r="B17" t="s">
        <v>1305</v>
      </c>
      <c r="C17">
        <f>COUNTA(C5:C13)</f>
        <v>8</v>
      </c>
      <c r="D17">
        <f t="shared" ref="D17:E17" ca="1" si="7">COUNTA(D5:D13)</f>
        <v>7</v>
      </c>
      <c r="E17">
        <f t="shared" ca="1" si="7"/>
        <v>9</v>
      </c>
      <c r="F17" t="s">
        <v>1306</v>
      </c>
    </row>
    <row r="18" spans="2:13" x14ac:dyDescent="0.3">
      <c r="B18" t="s">
        <v>1308</v>
      </c>
      <c r="C18">
        <f>COUNTBLANK(C5:C13)</f>
        <v>1</v>
      </c>
      <c r="D18">
        <f t="shared" ref="D18:E18" ca="1" si="8">COUNTBLANK(D5:D13)</f>
        <v>2</v>
      </c>
      <c r="E18">
        <f t="shared" ca="1" si="8"/>
        <v>0</v>
      </c>
      <c r="F18" t="s">
        <v>1309</v>
      </c>
    </row>
    <row r="19" spans="2:13" x14ac:dyDescent="0.3">
      <c r="B19" t="s">
        <v>1278</v>
      </c>
      <c r="C19">
        <f>C15/C16</f>
        <v>51.5</v>
      </c>
      <c r="D19">
        <f t="shared" ref="D19:E19" ca="1" si="9">D15/D16</f>
        <v>57.118333333333332</v>
      </c>
      <c r="E19">
        <f t="shared" ca="1" si="9"/>
        <v>55.111111111111114</v>
      </c>
    </row>
    <row r="20" spans="2:13" x14ac:dyDescent="0.3">
      <c r="B20" t="s">
        <v>1279</v>
      </c>
      <c r="C20">
        <f>AVERAGE(C5:C13)</f>
        <v>51.5</v>
      </c>
      <c r="D20">
        <f t="shared" ref="D20:E20" ca="1" si="10">AVERAGE(D5:D13)</f>
        <v>57.118333333333332</v>
      </c>
      <c r="E20">
        <f t="shared" ca="1" si="10"/>
        <v>55.111111111111114</v>
      </c>
      <c r="J20" t="s">
        <v>1280</v>
      </c>
      <c r="M20" t="s">
        <v>1281</v>
      </c>
    </row>
    <row r="21" spans="2:13" x14ac:dyDescent="0.3">
      <c r="C21" t="s">
        <v>1297</v>
      </c>
    </row>
    <row r="22" spans="2:13" x14ac:dyDescent="0.3">
      <c r="B22" t="s">
        <v>1296</v>
      </c>
      <c r="C22">
        <f>SUMIF($B$5:$B$13,"컴공",C5:C13)</f>
        <v>184</v>
      </c>
      <c r="D22">
        <f t="shared" ref="D22:E22" ca="1" si="11">SUMIF($B$5:$B$13,"컴공",D5:D13)</f>
        <v>173.96</v>
      </c>
      <c r="E22">
        <f t="shared" ca="1" si="11"/>
        <v>166</v>
      </c>
      <c r="F22" t="s">
        <v>1300</v>
      </c>
      <c r="I22">
        <f>MOD(15,7)</f>
        <v>1</v>
      </c>
      <c r="J22" t="s">
        <v>1282</v>
      </c>
      <c r="M22" t="s">
        <v>1283</v>
      </c>
    </row>
    <row r="23" spans="2:13" x14ac:dyDescent="0.3">
      <c r="B23" t="s">
        <v>1298</v>
      </c>
      <c r="C23">
        <f>AVERAGEIF($B$5:$B$13,"컴공",C5:C13)</f>
        <v>61.333333333333336</v>
      </c>
      <c r="D23">
        <f t="shared" ref="D23:E23" ca="1" si="12">AVERAGEIF($B$5:$B$13,"컴공",D5:D13)</f>
        <v>57.986666666666672</v>
      </c>
      <c r="E23">
        <f t="shared" ca="1" si="12"/>
        <v>55.333333333333336</v>
      </c>
      <c r="F23" t="s">
        <v>1301</v>
      </c>
      <c r="I23">
        <f>POWER(2,4)</f>
        <v>16</v>
      </c>
      <c r="J23" t="s">
        <v>1284</v>
      </c>
      <c r="M23" t="s">
        <v>1285</v>
      </c>
    </row>
    <row r="24" spans="2:13" x14ac:dyDescent="0.3">
      <c r="B24" t="s">
        <v>1299</v>
      </c>
      <c r="C24">
        <f>COUNTIF(B5:B13,"컴공")</f>
        <v>3</v>
      </c>
      <c r="D24">
        <f ca="1">COUNTIF(D5:D13,"&gt;=70")</f>
        <v>1</v>
      </c>
      <c r="E24">
        <f ca="1">COUNTIF(E5:E13,"&gt;="&amp;AVERAGE(E5:E13))</f>
        <v>5</v>
      </c>
      <c r="I24">
        <f>SQRT(2)</f>
        <v>1.4142135623730951</v>
      </c>
      <c r="J24" t="s">
        <v>1286</v>
      </c>
      <c r="M24" t="s">
        <v>1287</v>
      </c>
    </row>
    <row r="26" spans="2:13" x14ac:dyDescent="0.3">
      <c r="B26" t="s">
        <v>1295</v>
      </c>
      <c r="C26">
        <f ca="1">SUMIFS(C5:C13,B5:B13,"컴공",D5:D13,"&gt;=70")</f>
        <v>0</v>
      </c>
      <c r="I26" t="s">
        <v>1288</v>
      </c>
      <c r="J26" t="s">
        <v>1290</v>
      </c>
      <c r="K26" t="s">
        <v>1292</v>
      </c>
    </row>
    <row r="27" spans="2:13" x14ac:dyDescent="0.3">
      <c r="B27" t="s">
        <v>1302</v>
      </c>
      <c r="I27" t="s">
        <v>1289</v>
      </c>
      <c r="J27" t="s">
        <v>1291</v>
      </c>
      <c r="K27" t="s">
        <v>1293</v>
      </c>
      <c r="L27" t="s">
        <v>1294</v>
      </c>
    </row>
    <row r="28" spans="2:13" x14ac:dyDescent="0.3">
      <c r="C28" t="e">
        <f ca="1">AVERAGEIFS(C5:C13,B5:B13,"컴공",D5:D13,"&gt;=70")</f>
        <v>#DIV/0!</v>
      </c>
      <c r="G28">
        <v>123.456</v>
      </c>
      <c r="I28">
        <f>ROUND(G28,2)</f>
        <v>123.46</v>
      </c>
      <c r="J28">
        <f>ROUNDUP(G28,2)</f>
        <v>123.46000000000001</v>
      </c>
      <c r="K28">
        <f>ROUNDDOWN(G28,2)</f>
        <v>123.45</v>
      </c>
      <c r="L28">
        <f>ABS(G28)</f>
        <v>123.456</v>
      </c>
    </row>
    <row r="29" spans="2:13" x14ac:dyDescent="0.3">
      <c r="C29">
        <f ca="1">COUNTIFS(B5:B13,"컴공",D5:D13,"&gt;=70")</f>
        <v>0</v>
      </c>
      <c r="G29">
        <v>-123.456</v>
      </c>
      <c r="I29">
        <f t="shared" ref="I29:I31" si="13">ROUND(G29,2)</f>
        <v>-123.46</v>
      </c>
      <c r="J29">
        <f t="shared" ref="J29:J31" si="14">ROUNDUP(G29,2)</f>
        <v>-123.46000000000001</v>
      </c>
      <c r="K29">
        <f t="shared" ref="K29:K31" si="15">ROUNDDOWN(G29,2)</f>
        <v>-123.45</v>
      </c>
      <c r="L29">
        <f t="shared" ref="L29:L31" si="16">ABS(G29)</f>
        <v>123.456</v>
      </c>
    </row>
    <row r="30" spans="2:13" x14ac:dyDescent="0.3">
      <c r="G30">
        <v>987.654</v>
      </c>
      <c r="I30">
        <f t="shared" si="13"/>
        <v>987.65</v>
      </c>
      <c r="J30">
        <f t="shared" si="14"/>
        <v>987.66</v>
      </c>
      <c r="K30">
        <f t="shared" si="15"/>
        <v>987.65</v>
      </c>
      <c r="L30">
        <f t="shared" si="16"/>
        <v>987.654</v>
      </c>
    </row>
    <row r="31" spans="2:13" x14ac:dyDescent="0.3">
      <c r="B31" t="s">
        <v>1310</v>
      </c>
      <c r="C31">
        <f ca="1">MAX(C5:E13)</f>
        <v>91</v>
      </c>
      <c r="G31">
        <v>-987.654</v>
      </c>
      <c r="I31">
        <f t="shared" si="13"/>
        <v>-987.65</v>
      </c>
      <c r="J31">
        <f t="shared" si="14"/>
        <v>-987.66</v>
      </c>
      <c r="K31">
        <f t="shared" si="15"/>
        <v>-987.65</v>
      </c>
      <c r="L31">
        <f t="shared" si="16"/>
        <v>987.654</v>
      </c>
    </row>
    <row r="32" spans="2:13" x14ac:dyDescent="0.3">
      <c r="B32" t="s">
        <v>1311</v>
      </c>
      <c r="C32">
        <f ca="1">MIN(C5:E13)</f>
        <v>18</v>
      </c>
    </row>
    <row r="33" spans="2:7" x14ac:dyDescent="0.3">
      <c r="B33" t="s">
        <v>1312</v>
      </c>
      <c r="C33">
        <f ca="1">LARGE(C5:E12,3)</f>
        <v>82</v>
      </c>
      <c r="D33" t="s">
        <v>1313</v>
      </c>
    </row>
    <row r="34" spans="2:7" x14ac:dyDescent="0.3">
      <c r="B34" t="s">
        <v>1314</v>
      </c>
      <c r="C34">
        <f ca="1">SMALL(C5:E13,3)</f>
        <v>30</v>
      </c>
      <c r="D34" t="s">
        <v>1315</v>
      </c>
    </row>
    <row r="35" spans="2:7" x14ac:dyDescent="0.3">
      <c r="B35" t="s">
        <v>1316</v>
      </c>
      <c r="C35">
        <f>MEDIAN(C5:C13)</f>
        <v>43.5</v>
      </c>
      <c r="D35">
        <f ca="1">MEDIAN(D5:D13)</f>
        <v>52.480000000000004</v>
      </c>
      <c r="E35">
        <f ca="1">MEDIAN(E5:E13)</f>
        <v>57</v>
      </c>
      <c r="G35" t="s">
        <v>1317</v>
      </c>
    </row>
    <row r="36" spans="2:7" x14ac:dyDescent="0.3">
      <c r="B36" t="s">
        <v>1319</v>
      </c>
      <c r="C36">
        <f>_xlfn.VAR.S(C5:C13)</f>
        <v>817.71428571428567</v>
      </c>
      <c r="D36">
        <f t="shared" ref="D36:E36" ca="1" si="17">_xlfn.VAR.S(D5:D13)</f>
        <v>403.30001666666647</v>
      </c>
      <c r="E36">
        <f t="shared" ca="1" si="17"/>
        <v>162.86111111111131</v>
      </c>
      <c r="G36" t="s">
        <v>1318</v>
      </c>
    </row>
    <row r="37" spans="2:7" x14ac:dyDescent="0.3">
      <c r="B37" t="s">
        <v>1320</v>
      </c>
      <c r="C37">
        <f>_xlfn.STDEV.S(C5:C13)</f>
        <v>28.595703973049616</v>
      </c>
      <c r="D37">
        <f t="shared" ref="D37:E37" ca="1" si="18">_xlfn.STDEV.S(D5:D13)</f>
        <v>20.082330957004629</v>
      </c>
      <c r="E37">
        <f t="shared" ca="1" si="18"/>
        <v>12.76170486694906</v>
      </c>
      <c r="G37" t="s">
        <v>1321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8"/>
  <sheetViews>
    <sheetView topLeftCell="A13" zoomScale="130" zoomScaleNormal="130" workbookViewId="0">
      <selection activeCell="L25" sqref="L25:N25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87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 x14ac:dyDescent="0.3">
      <c r="A3" s="83" t="s">
        <v>1136</v>
      </c>
      <c r="B3" s="83" t="s">
        <v>1137</v>
      </c>
      <c r="C3" s="105">
        <v>5</v>
      </c>
      <c r="D3" s="105">
        <v>25</v>
      </c>
      <c r="E3" s="38" t="str">
        <f ca="1">RANDBETWEEN(C3,D3)&amp;"층"</f>
        <v>6층</v>
      </c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 x14ac:dyDescent="0.3">
      <c r="A4" s="83" t="s">
        <v>1136</v>
      </c>
      <c r="B4" s="83" t="s">
        <v>1138</v>
      </c>
      <c r="C4" s="105">
        <v>5</v>
      </c>
      <c r="D4" s="105">
        <v>25</v>
      </c>
      <c r="E4" s="38" t="str">
        <f t="shared" ref="E4:E12" ca="1" si="0">RANDBETWEEN(C4,D4)&amp;"층"</f>
        <v>18층</v>
      </c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1">I4*J4</f>
        <v>436800</v>
      </c>
      <c r="L4" s="7"/>
      <c r="M4" s="7"/>
      <c r="N4" s="7"/>
    </row>
    <row r="5" spans="1:14" x14ac:dyDescent="0.3">
      <c r="A5" s="83" t="s">
        <v>1136</v>
      </c>
      <c r="B5" s="83" t="s">
        <v>1139</v>
      </c>
      <c r="C5" s="105">
        <v>5</v>
      </c>
      <c r="D5" s="105">
        <v>25</v>
      </c>
      <c r="E5" s="38" t="str">
        <f t="shared" ca="1" si="0"/>
        <v>5층</v>
      </c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1"/>
        <v>256500</v>
      </c>
      <c r="L5" s="7"/>
      <c r="M5" s="7"/>
      <c r="N5" s="7"/>
    </row>
    <row r="6" spans="1:14" x14ac:dyDescent="0.3">
      <c r="A6" s="83" t="s">
        <v>1136</v>
      </c>
      <c r="B6" s="83" t="s">
        <v>1140</v>
      </c>
      <c r="C6" s="105">
        <v>5</v>
      </c>
      <c r="D6" s="105">
        <v>25</v>
      </c>
      <c r="E6" s="38" t="str">
        <f t="shared" ca="1" si="0"/>
        <v>7층</v>
      </c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1"/>
        <v>364000</v>
      </c>
      <c r="L6" s="7"/>
      <c r="M6" s="7"/>
      <c r="N6" s="7"/>
    </row>
    <row r="7" spans="1:14" x14ac:dyDescent="0.3">
      <c r="A7" s="83" t="s">
        <v>1136</v>
      </c>
      <c r="B7" s="83" t="s">
        <v>1141</v>
      </c>
      <c r="C7" s="105">
        <v>5</v>
      </c>
      <c r="D7" s="105">
        <v>25</v>
      </c>
      <c r="E7" s="38" t="str">
        <f t="shared" ca="1" si="0"/>
        <v>17층</v>
      </c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1"/>
        <v>312000</v>
      </c>
      <c r="L7" s="7"/>
      <c r="M7" s="7"/>
      <c r="N7" s="7"/>
    </row>
    <row r="8" spans="1:14" x14ac:dyDescent="0.3">
      <c r="A8" s="83" t="s">
        <v>1142</v>
      </c>
      <c r="B8" s="83" t="s">
        <v>1143</v>
      </c>
      <c r="C8" s="105">
        <v>1</v>
      </c>
      <c r="D8" s="105">
        <v>25</v>
      </c>
      <c r="E8" s="38" t="str">
        <f t="shared" ca="1" si="0"/>
        <v>25층</v>
      </c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1"/>
        <v>812500</v>
      </c>
      <c r="L8" s="7"/>
      <c r="M8" s="7"/>
      <c r="N8" s="7"/>
    </row>
    <row r="9" spans="1:14" x14ac:dyDescent="0.3">
      <c r="A9" s="83" t="s">
        <v>1142</v>
      </c>
      <c r="B9" s="83" t="s">
        <v>1144</v>
      </c>
      <c r="C9" s="105">
        <v>1</v>
      </c>
      <c r="D9" s="105">
        <v>25</v>
      </c>
      <c r="E9" s="38" t="str">
        <f t="shared" ca="1" si="0"/>
        <v>5층</v>
      </c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1"/>
        <v>224100</v>
      </c>
      <c r="L9" s="7"/>
      <c r="M9" s="7"/>
      <c r="N9" s="7"/>
    </row>
    <row r="10" spans="1:14" x14ac:dyDescent="0.3">
      <c r="A10" s="83" t="s">
        <v>1142</v>
      </c>
      <c r="B10" s="83" t="s">
        <v>1145</v>
      </c>
      <c r="C10" s="105">
        <v>1</v>
      </c>
      <c r="D10" s="105">
        <v>25</v>
      </c>
      <c r="E10" s="38" t="str">
        <f t="shared" ca="1" si="0"/>
        <v>17층</v>
      </c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1"/>
        <v>468000</v>
      </c>
      <c r="L10" s="7"/>
      <c r="M10" s="7"/>
      <c r="N10" s="7"/>
    </row>
    <row r="11" spans="1:14" x14ac:dyDescent="0.3">
      <c r="A11" s="83" t="s">
        <v>1142</v>
      </c>
      <c r="B11" s="83" t="s">
        <v>1146</v>
      </c>
      <c r="C11" s="105">
        <v>1</v>
      </c>
      <c r="D11" s="105">
        <v>25</v>
      </c>
      <c r="E11" s="38" t="str">
        <f t="shared" ca="1" si="0"/>
        <v>17층</v>
      </c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1"/>
        <v>283500</v>
      </c>
      <c r="L11" s="7"/>
      <c r="M11" s="7"/>
      <c r="N11" s="7"/>
    </row>
    <row r="12" spans="1:14" x14ac:dyDescent="0.3">
      <c r="A12" s="83" t="s">
        <v>1142</v>
      </c>
      <c r="B12" s="83" t="s">
        <v>1147</v>
      </c>
      <c r="C12" s="105">
        <v>1</v>
      </c>
      <c r="D12" s="105">
        <v>25</v>
      </c>
      <c r="E12" s="38" t="str">
        <f t="shared" ca="1" si="0"/>
        <v>15층</v>
      </c>
      <c r="F12" s="7"/>
      <c r="G12" s="148" t="s">
        <v>245</v>
      </c>
      <c r="H12" s="148"/>
      <c r="I12" s="148"/>
      <c r="J12" s="148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 x14ac:dyDescent="0.3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 x14ac:dyDescent="0.3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 x14ac:dyDescent="0.3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 x14ac:dyDescent="0.3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 x14ac:dyDescent="0.3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 x14ac:dyDescent="0.3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 x14ac:dyDescent="0.3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 x14ac:dyDescent="0.3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 x14ac:dyDescent="0.3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45" t="s">
        <v>300</v>
      </c>
      <c r="M24" s="146"/>
      <c r="N24" s="147"/>
    </row>
    <row r="25" spans="1:14" x14ac:dyDescent="0.3">
      <c r="A25" s="145" t="s">
        <v>301</v>
      </c>
      <c r="B25" s="146"/>
      <c r="C25" s="146"/>
      <c r="D25" s="147"/>
      <c r="E25" s="33">
        <f>SUMIF(D16:D24,_xlfn.MODE.SNGL(D16:D24),E16:E24)</f>
        <v>3396000</v>
      </c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40" t="str">
        <f>SUMIFS(K16:K25,H16:H25,"드라마",I16:I25,"15세이상")&amp;"만원"</f>
        <v>1308만원</v>
      </c>
      <c r="M25" s="150"/>
      <c r="N25" s="141"/>
    </row>
    <row r="27" spans="1:14" x14ac:dyDescent="0.3">
      <c r="B27" s="32">
        <f>_xlfn.MODE.SNGL(D16:D24)</f>
        <v>4</v>
      </c>
      <c r="C27" s="32" t="s">
        <v>1324</v>
      </c>
      <c r="E27" s="32" t="s">
        <v>1325</v>
      </c>
    </row>
    <row r="28" spans="1:14" x14ac:dyDescent="0.3">
      <c r="E28" s="32" t="s">
        <v>1326</v>
      </c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6층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24층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20층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25층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23층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24층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3층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23층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12층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6층</v>
      </c>
      <c r="F12" s="7"/>
      <c r="G12" s="148" t="s">
        <v>245</v>
      </c>
      <c r="H12" s="148"/>
      <c r="I12" s="148"/>
      <c r="J12" s="148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45" t="s">
        <v>300</v>
      </c>
      <c r="M24" s="146"/>
      <c r="N24" s="147"/>
    </row>
    <row r="25" spans="1:14" x14ac:dyDescent="0.3">
      <c r="A25" s="145" t="s">
        <v>301</v>
      </c>
      <c r="B25" s="146"/>
      <c r="C25" s="146"/>
      <c r="D25" s="147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40" t="str">
        <f>SUMIFS(K16:K25,H16:H25,"드라마",I16:I25,"15세이상")&amp;"만원"</f>
        <v>1308만원</v>
      </c>
      <c r="M25" s="150"/>
      <c r="N25" s="141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20"/>
  <sheetViews>
    <sheetView topLeftCell="A7" zoomScale="145" zoomScaleNormal="145" workbookViewId="0">
      <selection activeCell="J15" sqref="J15:J20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1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1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1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129" t="str">
        <f>INT(H3/I3)&amp;"("&amp;MOD(H3,I3)&amp;")"</f>
        <v>13(4)</v>
      </c>
      <c r="K3">
        <f>MOD(H3,I3)</f>
        <v>4</v>
      </c>
    </row>
    <row r="4" spans="1:11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129" t="str">
        <f t="shared" ref="J4:J11" si="0">INT(H4/I4)&amp;"("&amp;MOD(H4,I4)&amp;")"</f>
        <v>12(34)</v>
      </c>
      <c r="K4">
        <f t="shared" ref="K4:K11" si="1">MOD(H4,I4)</f>
        <v>34</v>
      </c>
    </row>
    <row r="5" spans="1:11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129" t="str">
        <f t="shared" si="0"/>
        <v>11(16)</v>
      </c>
      <c r="K5">
        <f t="shared" si="1"/>
        <v>16</v>
      </c>
    </row>
    <row r="6" spans="1:11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129" t="str">
        <f t="shared" si="0"/>
        <v>12(18)</v>
      </c>
      <c r="K6">
        <f t="shared" si="1"/>
        <v>18</v>
      </c>
    </row>
    <row r="7" spans="1:11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129" t="str">
        <f t="shared" si="0"/>
        <v>13(30)</v>
      </c>
      <c r="K7">
        <f t="shared" si="1"/>
        <v>30</v>
      </c>
    </row>
    <row r="8" spans="1:11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129" t="str">
        <f t="shared" si="0"/>
        <v>14(17)</v>
      </c>
      <c r="K8">
        <f t="shared" si="1"/>
        <v>17</v>
      </c>
    </row>
    <row r="9" spans="1:11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129" t="str">
        <f t="shared" si="0"/>
        <v>14(37)</v>
      </c>
      <c r="K9">
        <f t="shared" si="1"/>
        <v>37</v>
      </c>
    </row>
    <row r="10" spans="1:11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129" t="str">
        <f t="shared" si="0"/>
        <v>13(20)</v>
      </c>
      <c r="K10">
        <f t="shared" si="1"/>
        <v>20</v>
      </c>
    </row>
    <row r="11" spans="1:11" x14ac:dyDescent="0.3">
      <c r="A11" s="148" t="s">
        <v>332</v>
      </c>
      <c r="B11" s="148"/>
      <c r="C11" s="148"/>
      <c r="D11" s="35"/>
      <c r="E11" s="26"/>
      <c r="F11" s="26"/>
      <c r="G11" s="5" t="s">
        <v>333</v>
      </c>
      <c r="H11" s="5">
        <v>535</v>
      </c>
      <c r="I11" s="30">
        <v>30</v>
      </c>
      <c r="J11" s="129" t="str">
        <f t="shared" si="0"/>
        <v>17(25)</v>
      </c>
      <c r="K11">
        <f t="shared" si="1"/>
        <v>25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1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1" x14ac:dyDescent="0.3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1" x14ac:dyDescent="0.3">
      <c r="A15" s="83" t="s">
        <v>58</v>
      </c>
      <c r="B15" s="83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83">
        <v>14001</v>
      </c>
      <c r="H15" s="83">
        <v>94</v>
      </c>
      <c r="I15" s="83">
        <v>92</v>
      </c>
      <c r="J15" s="83">
        <f>ABS(H15-I15)</f>
        <v>2</v>
      </c>
    </row>
    <row r="16" spans="1:11" x14ac:dyDescent="0.3">
      <c r="A16" s="83" t="s">
        <v>348</v>
      </c>
      <c r="B16" s="83" t="s">
        <v>349</v>
      </c>
      <c r="C16" s="42">
        <v>32000</v>
      </c>
      <c r="D16" s="42">
        <v>170000</v>
      </c>
      <c r="E16" s="42">
        <f t="shared" ref="E16:E20" si="2">ROUNDDOWN(SUM(C16:D16),-4)</f>
        <v>200000</v>
      </c>
      <c r="F16" s="26"/>
      <c r="G16" s="83">
        <v>14002</v>
      </c>
      <c r="H16" s="83">
        <v>81</v>
      </c>
      <c r="I16" s="83">
        <v>76</v>
      </c>
      <c r="J16" s="126">
        <f t="shared" ref="J16:J20" si="3">ABS(H16-I16)</f>
        <v>5</v>
      </c>
    </row>
    <row r="17" spans="1:10" x14ac:dyDescent="0.3">
      <c r="A17" s="83" t="s">
        <v>350</v>
      </c>
      <c r="B17" s="83" t="s">
        <v>351</v>
      </c>
      <c r="C17" s="42">
        <v>39000</v>
      </c>
      <c r="D17" s="42">
        <v>120000</v>
      </c>
      <c r="E17" s="42">
        <f t="shared" si="2"/>
        <v>150000</v>
      </c>
      <c r="F17" s="26"/>
      <c r="G17" s="83">
        <v>14003</v>
      </c>
      <c r="H17" s="83">
        <v>82</v>
      </c>
      <c r="I17" s="83">
        <v>55</v>
      </c>
      <c r="J17" s="126">
        <f t="shared" si="3"/>
        <v>27</v>
      </c>
    </row>
    <row r="18" spans="1:10" x14ac:dyDescent="0.3">
      <c r="A18" s="83" t="s">
        <v>352</v>
      </c>
      <c r="B18" s="83" t="s">
        <v>353</v>
      </c>
      <c r="C18" s="42">
        <v>78000</v>
      </c>
      <c r="D18" s="42">
        <v>210000</v>
      </c>
      <c r="E18" s="42">
        <f t="shared" si="2"/>
        <v>280000</v>
      </c>
      <c r="F18" s="26"/>
      <c r="G18" s="83">
        <v>14004</v>
      </c>
      <c r="H18" s="83">
        <v>80</v>
      </c>
      <c r="I18" s="83">
        <v>86</v>
      </c>
      <c r="J18" s="126">
        <f t="shared" si="3"/>
        <v>6</v>
      </c>
    </row>
    <row r="19" spans="1:10" x14ac:dyDescent="0.3">
      <c r="A19" s="83" t="s">
        <v>354</v>
      </c>
      <c r="B19" s="83" t="s">
        <v>355</v>
      </c>
      <c r="C19" s="42">
        <v>72000</v>
      </c>
      <c r="D19" s="42">
        <v>110000</v>
      </c>
      <c r="E19" s="42">
        <f t="shared" si="2"/>
        <v>180000</v>
      </c>
      <c r="F19" s="26"/>
      <c r="G19" s="83">
        <v>14005</v>
      </c>
      <c r="H19" s="83">
        <v>75</v>
      </c>
      <c r="I19" s="83">
        <v>79</v>
      </c>
      <c r="J19" s="126">
        <f t="shared" si="3"/>
        <v>4</v>
      </c>
    </row>
    <row r="20" spans="1:10" x14ac:dyDescent="0.3">
      <c r="A20" s="83" t="s">
        <v>356</v>
      </c>
      <c r="B20" s="83" t="s">
        <v>357</v>
      </c>
      <c r="C20" s="42">
        <v>68000</v>
      </c>
      <c r="D20" s="42">
        <v>150000</v>
      </c>
      <c r="E20" s="42">
        <f t="shared" si="2"/>
        <v>210000</v>
      </c>
      <c r="F20" s="26"/>
      <c r="G20" s="83">
        <v>14006</v>
      </c>
      <c r="H20" s="83">
        <v>91</v>
      </c>
      <c r="I20" s="83">
        <v>88</v>
      </c>
      <c r="J20" s="126">
        <f t="shared" si="3"/>
        <v>3</v>
      </c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48" t="s">
        <v>332</v>
      </c>
      <c r="B11" s="148"/>
      <c r="C11" s="148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 x14ac:dyDescent="0.3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 x14ac:dyDescent="0.3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 x14ac:dyDescent="0.3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 x14ac:dyDescent="0.3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topLeftCell="A26" zoomScale="145" zoomScaleNormal="145" workbookViewId="0">
      <selection activeCell="J29" sqref="J29"/>
    </sheetView>
  </sheetViews>
  <sheetFormatPr defaultRowHeight="16.5" x14ac:dyDescent="0.3"/>
  <cols>
    <col min="4" max="4" width="10.875" bestFit="1" customWidth="1"/>
    <col min="5" max="5" width="12.75" bestFit="1" customWidth="1"/>
    <col min="6" max="6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3" t="s">
        <v>391</v>
      </c>
      <c r="B10" s="83" t="s">
        <v>388</v>
      </c>
      <c r="C10" s="83" t="s">
        <v>232</v>
      </c>
      <c r="D10" s="148" t="s">
        <v>393</v>
      </c>
      <c r="E10" s="148"/>
      <c r="F10" s="26"/>
      <c r="G10" s="26"/>
      <c r="H10" s="26"/>
      <c r="I10" s="26"/>
      <c r="J10" s="26"/>
      <c r="K10" s="26"/>
    </row>
    <row r="11" spans="1:11" x14ac:dyDescent="0.3">
      <c r="A11" s="83" t="s">
        <v>394</v>
      </c>
      <c r="B11" s="83" t="s">
        <v>388</v>
      </c>
      <c r="C11" s="83" t="s">
        <v>238</v>
      </c>
      <c r="D11" s="139" t="str">
        <f>COUNTIF(C3:C11,"&lt;&gt;대리")&amp;"명"</f>
        <v>6명</v>
      </c>
      <c r="E11" s="139"/>
      <c r="F11" s="26"/>
      <c r="G11" s="145" t="s">
        <v>397</v>
      </c>
      <c r="H11" s="146"/>
      <c r="I11" s="146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 x14ac:dyDescent="0.3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 x14ac:dyDescent="0.3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 x14ac:dyDescent="0.3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 x14ac:dyDescent="0.3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 x14ac:dyDescent="0.3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 x14ac:dyDescent="0.3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 x14ac:dyDescent="0.3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 x14ac:dyDescent="0.3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 x14ac:dyDescent="0.3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 x14ac:dyDescent="0.3">
      <c r="A24" s="153" t="s">
        <v>435</v>
      </c>
      <c r="B24" s="154"/>
      <c r="C24" s="154"/>
      <c r="D24" s="155"/>
      <c r="E24" s="159">
        <f>COUNTIFS(E15:E22,"&gt;=1500000",D15:D22,"&gt;="&amp;AVERAGE(D15:D22))</f>
        <v>4</v>
      </c>
      <c r="F24" s="130"/>
      <c r="G24" s="145" t="s">
        <v>436</v>
      </c>
      <c r="H24" s="146"/>
      <c r="I24" s="146"/>
      <c r="J24" s="147"/>
      <c r="K24" s="83">
        <f>AVERAGEIF(I15:I23,"&gt;=40",K15:K23)</f>
        <v>112</v>
      </c>
    </row>
    <row r="25" spans="1:11" x14ac:dyDescent="0.3">
      <c r="A25" s="156"/>
      <c r="B25" s="157"/>
      <c r="C25" s="157"/>
      <c r="D25" s="158"/>
      <c r="E25" s="159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 x14ac:dyDescent="0.3">
      <c r="A28" s="83" t="s">
        <v>441</v>
      </c>
      <c r="B28" s="83" t="s">
        <v>442</v>
      </c>
      <c r="C28" s="83" t="s">
        <v>443</v>
      </c>
      <c r="D28" s="83" t="s">
        <v>444</v>
      </c>
      <c r="E28" s="151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 x14ac:dyDescent="0.3">
      <c r="A29" s="83" t="s">
        <v>449</v>
      </c>
      <c r="B29" s="83">
        <v>5535</v>
      </c>
      <c r="C29" s="83">
        <v>6021</v>
      </c>
      <c r="D29" s="83">
        <v>4831</v>
      </c>
      <c r="E29" s="152"/>
      <c r="F29" s="26"/>
      <c r="G29" s="5" t="s">
        <v>450</v>
      </c>
      <c r="H29" s="5" t="s">
        <v>188</v>
      </c>
      <c r="I29" s="5">
        <v>87</v>
      </c>
      <c r="J29" s="5" t="str">
        <f>LARGE(I29:I38,3)&amp;"점"</f>
        <v>95점</v>
      </c>
      <c r="K29" s="26"/>
    </row>
    <row r="30" spans="1:11" x14ac:dyDescent="0.3">
      <c r="A30" s="83" t="s">
        <v>452</v>
      </c>
      <c r="B30" s="83">
        <v>5468</v>
      </c>
      <c r="C30" s="83">
        <v>6871</v>
      </c>
      <c r="D30" s="83">
        <v>5001</v>
      </c>
      <c r="E30" s="44">
        <f>ROUNDDOWN(_xlfn.STDEV.S(D29:D38),1)</f>
        <v>327.5</v>
      </c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 x14ac:dyDescent="0.3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 x14ac:dyDescent="0.3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 x14ac:dyDescent="0.3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 x14ac:dyDescent="0.3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 x14ac:dyDescent="0.3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 x14ac:dyDescent="0.3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48" t="s">
        <v>393</v>
      </c>
      <c r="E10" s="148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39" t="str">
        <f>COUNTIF(C3:C11,"&lt;&gt;대리")&amp;"명"</f>
        <v>6명</v>
      </c>
      <c r="E11" s="139"/>
      <c r="F11" s="26"/>
      <c r="G11" s="145" t="s">
        <v>397</v>
      </c>
      <c r="H11" s="146"/>
      <c r="I11" s="146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53" t="s">
        <v>435</v>
      </c>
      <c r="B24" s="154"/>
      <c r="C24" s="154"/>
      <c r="D24" s="155"/>
      <c r="E24" s="160" t="str">
        <f>COUNTIFS(E15:E22,"&gt;1500000",D15:D22,"&gt;="&amp;AVERAGE(D15:D22))&amp;"명"</f>
        <v>3명</v>
      </c>
      <c r="F24" s="26"/>
      <c r="G24" s="145" t="s">
        <v>436</v>
      </c>
      <c r="H24" s="146"/>
      <c r="I24" s="146"/>
      <c r="J24" s="147"/>
      <c r="K24" s="93">
        <f>AVERAGEIF(I15:I23,"&gt;=40",K15:K23)</f>
        <v>112</v>
      </c>
    </row>
    <row r="25" spans="1:11" x14ac:dyDescent="0.3">
      <c r="A25" s="156"/>
      <c r="B25" s="157"/>
      <c r="C25" s="157"/>
      <c r="D25" s="158"/>
      <c r="E25" s="160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51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52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topLeftCell="A22" zoomScale="130" zoomScaleNormal="130" workbookViewId="0">
      <selection activeCell="C34" sqref="C34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126" t="str">
        <f t="shared" ref="F3:F12" si="0"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 x14ac:dyDescent="0.3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1">B4*3+C4*1</f>
        <v>36</v>
      </c>
      <c r="F4" s="126" t="str">
        <f t="shared" si="0"/>
        <v/>
      </c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 x14ac:dyDescent="0.3">
      <c r="A5" s="83" t="s">
        <v>490</v>
      </c>
      <c r="B5" s="83">
        <v>24</v>
      </c>
      <c r="C5" s="83">
        <v>9</v>
      </c>
      <c r="D5" s="83">
        <v>5</v>
      </c>
      <c r="E5" s="83">
        <f t="shared" si="1"/>
        <v>81</v>
      </c>
      <c r="F5" s="126" t="str">
        <f t="shared" si="0"/>
        <v>결승진출</v>
      </c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 x14ac:dyDescent="0.3">
      <c r="A6" s="83" t="s">
        <v>492</v>
      </c>
      <c r="B6" s="83">
        <v>14</v>
      </c>
      <c r="C6" s="83">
        <v>12</v>
      </c>
      <c r="D6" s="83">
        <v>12</v>
      </c>
      <c r="E6" s="83">
        <f t="shared" si="1"/>
        <v>54</v>
      </c>
      <c r="F6" s="126" t="str">
        <f t="shared" si="0"/>
        <v/>
      </c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 x14ac:dyDescent="0.3">
      <c r="A7" s="83" t="s">
        <v>495</v>
      </c>
      <c r="B7" s="83">
        <v>9</v>
      </c>
      <c r="C7" s="83">
        <v>13</v>
      </c>
      <c r="D7" s="83">
        <v>16</v>
      </c>
      <c r="E7" s="83">
        <f t="shared" si="1"/>
        <v>40</v>
      </c>
      <c r="F7" s="126" t="str">
        <f t="shared" si="0"/>
        <v/>
      </c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 x14ac:dyDescent="0.3">
      <c r="A8" s="83" t="s">
        <v>497</v>
      </c>
      <c r="B8" s="83">
        <v>14</v>
      </c>
      <c r="C8" s="83">
        <v>9</v>
      </c>
      <c r="D8" s="83">
        <v>15</v>
      </c>
      <c r="E8" s="83">
        <f t="shared" si="1"/>
        <v>51</v>
      </c>
      <c r="F8" s="126" t="str">
        <f t="shared" si="0"/>
        <v/>
      </c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 x14ac:dyDescent="0.3">
      <c r="A9" s="83" t="s">
        <v>499</v>
      </c>
      <c r="B9" s="83">
        <v>8</v>
      </c>
      <c r="C9" s="83">
        <v>16</v>
      </c>
      <c r="D9" s="83">
        <v>14</v>
      </c>
      <c r="E9" s="83">
        <f t="shared" si="1"/>
        <v>40</v>
      </c>
      <c r="F9" s="126" t="str">
        <f t="shared" si="0"/>
        <v/>
      </c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 x14ac:dyDescent="0.3">
      <c r="A10" s="83" t="s">
        <v>501</v>
      </c>
      <c r="B10" s="83">
        <v>17</v>
      </c>
      <c r="C10" s="83">
        <v>9</v>
      </c>
      <c r="D10" s="83">
        <v>12</v>
      </c>
      <c r="E10" s="83">
        <f t="shared" si="1"/>
        <v>60</v>
      </c>
      <c r="F10" s="126" t="str">
        <f>IF(_xlfn.RANK.EQ(E10,$E$3:$E$12)&lt;=3,"결승진출","")</f>
        <v>결승진출</v>
      </c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 x14ac:dyDescent="0.3">
      <c r="A11" s="83" t="s">
        <v>503</v>
      </c>
      <c r="B11" s="83">
        <v>13</v>
      </c>
      <c r="C11" s="83">
        <v>11</v>
      </c>
      <c r="D11" s="83">
        <v>14</v>
      </c>
      <c r="E11" s="83">
        <f t="shared" si="1"/>
        <v>50</v>
      </c>
      <c r="F11" s="126" t="str">
        <f t="shared" si="0"/>
        <v/>
      </c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 x14ac:dyDescent="0.3">
      <c r="A12" s="83" t="s">
        <v>505</v>
      </c>
      <c r="B12" s="83">
        <v>7</v>
      </c>
      <c r="C12" s="83">
        <v>13</v>
      </c>
      <c r="D12" s="83">
        <v>18</v>
      </c>
      <c r="E12" s="83">
        <f t="shared" si="1"/>
        <v>34</v>
      </c>
      <c r="F12" s="126" t="str">
        <f t="shared" si="0"/>
        <v/>
      </c>
      <c r="G12" s="7"/>
      <c r="H12" s="145" t="s">
        <v>506</v>
      </c>
      <c r="I12" s="146"/>
      <c r="J12" s="146"/>
      <c r="K12" s="147"/>
      <c r="L12" s="85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 t="str">
        <f t="shared" ref="K17:K24" si="2">IF(J17&lt;=SMALL($J$16:$J$24,3),"입상","")</f>
        <v/>
      </c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 t="str">
        <f t="shared" si="2"/>
        <v/>
      </c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 t="str">
        <f t="shared" si="2"/>
        <v/>
      </c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 t="str">
        <f t="shared" si="2"/>
        <v>입상</v>
      </c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 t="str">
        <f t="shared" si="2"/>
        <v>입상</v>
      </c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 t="str">
        <f t="shared" si="2"/>
        <v/>
      </c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 t="str">
        <f t="shared" si="2"/>
        <v/>
      </c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 t="str">
        <f t="shared" si="2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 x14ac:dyDescent="0.3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 x14ac:dyDescent="0.3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 x14ac:dyDescent="0.3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 x14ac:dyDescent="0.3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 x14ac:dyDescent="0.3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 x14ac:dyDescent="0.3">
      <c r="A34" s="161" t="s">
        <v>558</v>
      </c>
      <c r="B34" s="161"/>
      <c r="C34" s="86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62" t="s">
        <v>560</v>
      </c>
      <c r="I36" s="163"/>
      <c r="J36" s="83" t="str">
        <f>COUNTBLANK(I28:K34)&amp;"회"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45" t="s">
        <v>506</v>
      </c>
      <c r="I12" s="146"/>
      <c r="J12" s="146"/>
      <c r="K12" s="147"/>
      <c r="L12" s="96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 x14ac:dyDescent="0.3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 x14ac:dyDescent="0.3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 x14ac:dyDescent="0.3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 x14ac:dyDescent="0.3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 x14ac:dyDescent="0.3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 x14ac:dyDescent="0.3">
      <c r="A34" s="161" t="s">
        <v>558</v>
      </c>
      <c r="B34" s="161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62" t="s">
        <v>560</v>
      </c>
      <c r="I36" s="163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1FD43-63CB-4567-B92D-81D4FCD0C616}">
  <dimension ref="A2:M44"/>
  <sheetViews>
    <sheetView topLeftCell="A31" zoomScale="130" zoomScaleNormal="130" workbookViewId="0">
      <selection activeCell="B45" sqref="B45"/>
    </sheetView>
  </sheetViews>
  <sheetFormatPr defaultRowHeight="16.5" x14ac:dyDescent="0.3"/>
  <cols>
    <col min="3" max="3" width="33.75" customWidth="1"/>
    <col min="4" max="6" width="10.875" bestFit="1" customWidth="1"/>
  </cols>
  <sheetData>
    <row r="2" spans="2:13" x14ac:dyDescent="0.3">
      <c r="B2" s="127" t="s">
        <v>75</v>
      </c>
      <c r="C2" s="127" t="s">
        <v>614</v>
      </c>
      <c r="D2" s="127" t="s">
        <v>482</v>
      </c>
      <c r="E2" s="127" t="s">
        <v>616</v>
      </c>
      <c r="F2" s="128" t="s">
        <v>219</v>
      </c>
      <c r="G2" s="132" t="s">
        <v>662</v>
      </c>
    </row>
    <row r="3" spans="2:13" x14ac:dyDescent="0.3">
      <c r="B3" s="127" t="s">
        <v>620</v>
      </c>
      <c r="C3" s="127" t="s">
        <v>368</v>
      </c>
      <c r="D3" s="127" t="s">
        <v>369</v>
      </c>
      <c r="E3" s="28">
        <v>500000</v>
      </c>
      <c r="F3" s="28"/>
    </row>
    <row r="4" spans="2:13" x14ac:dyDescent="0.3">
      <c r="B4" s="127" t="s">
        <v>624</v>
      </c>
      <c r="C4" s="127" t="s">
        <v>625</v>
      </c>
      <c r="D4" s="127" t="s">
        <v>232</v>
      </c>
      <c r="E4" s="28">
        <v>300000</v>
      </c>
      <c r="F4" s="28"/>
      <c r="H4">
        <f>HLOOKUP("대리",C14:F16,2,0)</f>
        <v>2400000</v>
      </c>
      <c r="I4" t="s">
        <v>1338</v>
      </c>
    </row>
    <row r="5" spans="2:13" x14ac:dyDescent="0.3">
      <c r="B5" s="127" t="s">
        <v>627</v>
      </c>
      <c r="C5" s="127" t="s">
        <v>628</v>
      </c>
      <c r="D5" s="127" t="s">
        <v>238</v>
      </c>
      <c r="E5" s="28">
        <v>250000</v>
      </c>
      <c r="F5" s="28"/>
      <c r="J5" t="s">
        <v>1347</v>
      </c>
    </row>
    <row r="6" spans="2:13" x14ac:dyDescent="0.3">
      <c r="B6" s="127" t="s">
        <v>632</v>
      </c>
      <c r="C6" s="127" t="s">
        <v>368</v>
      </c>
      <c r="D6" s="127" t="s">
        <v>232</v>
      </c>
      <c r="E6" s="28">
        <v>300000</v>
      </c>
      <c r="F6" s="28"/>
      <c r="J6" t="s">
        <v>1348</v>
      </c>
    </row>
    <row r="7" spans="2:13" x14ac:dyDescent="0.3">
      <c r="B7" s="127" t="s">
        <v>636</v>
      </c>
      <c r="C7" s="127" t="s">
        <v>625</v>
      </c>
      <c r="D7" s="127" t="s">
        <v>238</v>
      </c>
      <c r="E7" s="28">
        <v>250000</v>
      </c>
      <c r="F7" s="28"/>
      <c r="J7" t="s">
        <v>1349</v>
      </c>
    </row>
    <row r="8" spans="2:13" x14ac:dyDescent="0.3">
      <c r="B8" s="127" t="s">
        <v>641</v>
      </c>
      <c r="C8" s="127" t="s">
        <v>137</v>
      </c>
      <c r="D8" s="127" t="s">
        <v>224</v>
      </c>
      <c r="E8" s="28">
        <v>400000</v>
      </c>
      <c r="F8" s="28"/>
      <c r="K8" t="s">
        <v>1346</v>
      </c>
    </row>
    <row r="9" spans="2:13" x14ac:dyDescent="0.3">
      <c r="B9" s="127" t="s">
        <v>645</v>
      </c>
      <c r="C9" s="127" t="s">
        <v>625</v>
      </c>
      <c r="D9" s="127" t="s">
        <v>238</v>
      </c>
      <c r="E9" s="28">
        <v>250000</v>
      </c>
      <c r="F9" s="28"/>
      <c r="H9">
        <v>80</v>
      </c>
    </row>
    <row r="10" spans="2:13" x14ac:dyDescent="0.3">
      <c r="B10" s="127" t="s">
        <v>648</v>
      </c>
      <c r="C10" s="127" t="s">
        <v>137</v>
      </c>
      <c r="D10" s="127" t="s">
        <v>369</v>
      </c>
      <c r="E10" s="28">
        <v>500000</v>
      </c>
      <c r="F10" s="28"/>
      <c r="H10" t="str">
        <f>HLOOKUP(H9,I14:M15,2,0)</f>
        <v>우</v>
      </c>
      <c r="I10" t="s">
        <v>1344</v>
      </c>
    </row>
    <row r="11" spans="2:13" x14ac:dyDescent="0.3">
      <c r="B11" s="127" t="s">
        <v>652</v>
      </c>
      <c r="C11" s="127" t="s">
        <v>368</v>
      </c>
      <c r="D11" s="127" t="s">
        <v>232</v>
      </c>
      <c r="E11" s="28">
        <v>300000</v>
      </c>
      <c r="F11" s="28"/>
      <c r="H11" t="str">
        <f>HLOOKUP(H9,I14:M15,2,1)</f>
        <v>우</v>
      </c>
      <c r="I11" t="s">
        <v>1345</v>
      </c>
    </row>
    <row r="12" spans="2:13" x14ac:dyDescent="0.3">
      <c r="B12" s="26"/>
      <c r="C12" s="26"/>
      <c r="D12" s="26"/>
      <c r="E12" s="26"/>
      <c r="F12" s="26"/>
    </row>
    <row r="13" spans="2:13" x14ac:dyDescent="0.3">
      <c r="B13" s="26" t="s">
        <v>654</v>
      </c>
      <c r="C13" s="26"/>
      <c r="D13" s="26"/>
      <c r="E13" s="26"/>
      <c r="F13" s="26"/>
    </row>
    <row r="14" spans="2:13" x14ac:dyDescent="0.3">
      <c r="B14" s="127" t="s">
        <v>482</v>
      </c>
      <c r="C14" s="127" t="s">
        <v>238</v>
      </c>
      <c r="D14" s="127" t="s">
        <v>232</v>
      </c>
      <c r="E14" s="127" t="s">
        <v>224</v>
      </c>
      <c r="F14" s="127" t="s">
        <v>369</v>
      </c>
      <c r="I14">
        <v>0</v>
      </c>
      <c r="J14">
        <v>60</v>
      </c>
      <c r="K14">
        <v>70</v>
      </c>
      <c r="L14">
        <v>80</v>
      </c>
      <c r="M14">
        <v>90</v>
      </c>
    </row>
    <row r="15" spans="2:13" x14ac:dyDescent="0.3">
      <c r="B15" s="127" t="s">
        <v>219</v>
      </c>
      <c r="C15" s="28">
        <v>1800000</v>
      </c>
      <c r="D15" s="28">
        <v>2400000</v>
      </c>
      <c r="E15" s="28">
        <v>3000000</v>
      </c>
      <c r="F15" s="28">
        <v>3500000</v>
      </c>
      <c r="I15" t="s">
        <v>1339</v>
      </c>
      <c r="J15" t="s">
        <v>1340</v>
      </c>
      <c r="K15" t="s">
        <v>1341</v>
      </c>
      <c r="L15" t="s">
        <v>1342</v>
      </c>
      <c r="M15" t="s">
        <v>1343</v>
      </c>
    </row>
    <row r="16" spans="2:13" x14ac:dyDescent="0.3">
      <c r="B16" s="127" t="s">
        <v>662</v>
      </c>
      <c r="C16" s="28">
        <v>100000</v>
      </c>
      <c r="D16" s="28">
        <v>120000</v>
      </c>
      <c r="E16" s="28">
        <v>150000</v>
      </c>
      <c r="F16" s="28">
        <v>180000</v>
      </c>
    </row>
    <row r="18" spans="2:11" x14ac:dyDescent="0.3">
      <c r="I18" t="s">
        <v>1351</v>
      </c>
      <c r="J18" t="s">
        <v>1357</v>
      </c>
    </row>
    <row r="19" spans="2:11" x14ac:dyDescent="0.3">
      <c r="B19" s="14" t="s">
        <v>175</v>
      </c>
      <c r="C19" t="s">
        <v>1351</v>
      </c>
      <c r="D19" t="s">
        <v>1357</v>
      </c>
      <c r="H19" t="s">
        <v>815</v>
      </c>
      <c r="I19" t="str">
        <f>VLOOKUP(H19,B20:D24,2,0)</f>
        <v>전라남도</v>
      </c>
      <c r="J19">
        <f>VLOOKUP(H19,B20:D24,3,0)</f>
        <v>23</v>
      </c>
    </row>
    <row r="20" spans="2:11" x14ac:dyDescent="0.3">
      <c r="B20" s="14" t="s">
        <v>706</v>
      </c>
      <c r="C20" t="s">
        <v>1352</v>
      </c>
      <c r="D20">
        <v>27</v>
      </c>
      <c r="I20" t="s">
        <v>1358</v>
      </c>
    </row>
    <row r="21" spans="2:11" x14ac:dyDescent="0.3">
      <c r="B21" s="14" t="s">
        <v>708</v>
      </c>
      <c r="C21" t="s">
        <v>1353</v>
      </c>
      <c r="D21">
        <v>26</v>
      </c>
    </row>
    <row r="22" spans="2:11" x14ac:dyDescent="0.3">
      <c r="B22" s="14" t="s">
        <v>1350</v>
      </c>
      <c r="C22" t="s">
        <v>1354</v>
      </c>
      <c r="D22">
        <v>25</v>
      </c>
      <c r="H22" t="str">
        <f>CHOOSE(3,"월","화","수","목","금","토","일")</f>
        <v>수</v>
      </c>
      <c r="I22" t="s">
        <v>1359</v>
      </c>
    </row>
    <row r="23" spans="2:11" x14ac:dyDescent="0.3">
      <c r="B23" s="14" t="s">
        <v>815</v>
      </c>
      <c r="C23" t="s">
        <v>1355</v>
      </c>
      <c r="D23">
        <v>23</v>
      </c>
      <c r="I23" t="s">
        <v>1360</v>
      </c>
    </row>
    <row r="24" spans="2:11" x14ac:dyDescent="0.3">
      <c r="B24" s="14" t="s">
        <v>835</v>
      </c>
      <c r="C24" t="s">
        <v>1356</v>
      </c>
      <c r="D24">
        <v>26</v>
      </c>
    </row>
    <row r="25" spans="2:11" x14ac:dyDescent="0.3">
      <c r="H25" t="str">
        <f>INDEX(B20:D24,3,2)</f>
        <v>경상북도</v>
      </c>
      <c r="I25" t="s">
        <v>1361</v>
      </c>
    </row>
    <row r="26" spans="2:11" x14ac:dyDescent="0.3">
      <c r="B26" s="14" t="s">
        <v>708</v>
      </c>
      <c r="I26" t="s">
        <v>1362</v>
      </c>
    </row>
    <row r="27" spans="2:11" x14ac:dyDescent="0.3">
      <c r="B27">
        <f>MATCH(B26,B20:B24,0)</f>
        <v>2</v>
      </c>
      <c r="C27" t="s">
        <v>1379</v>
      </c>
    </row>
    <row r="28" spans="2:11" x14ac:dyDescent="0.3">
      <c r="C28" t="s">
        <v>1377</v>
      </c>
      <c r="H28">
        <f>COLUMN(B19)</f>
        <v>2</v>
      </c>
      <c r="I28" t="s">
        <v>1363</v>
      </c>
      <c r="K28" t="s">
        <v>1365</v>
      </c>
    </row>
    <row r="29" spans="2:11" x14ac:dyDescent="0.3">
      <c r="C29" t="s">
        <v>1378</v>
      </c>
      <c r="H29">
        <f>COLUMN(D23)</f>
        <v>4</v>
      </c>
      <c r="I29" t="s">
        <v>1364</v>
      </c>
      <c r="K29" t="s">
        <v>1366</v>
      </c>
    </row>
    <row r="30" spans="2:11" ht="82.5" x14ac:dyDescent="0.3">
      <c r="C30" s="124" t="s">
        <v>1383</v>
      </c>
    </row>
    <row r="31" spans="2:11" x14ac:dyDescent="0.3">
      <c r="H31">
        <f>ROW(B19)</f>
        <v>19</v>
      </c>
      <c r="I31" t="s">
        <v>1367</v>
      </c>
      <c r="K31" t="s">
        <v>1368</v>
      </c>
    </row>
    <row r="32" spans="2:11" x14ac:dyDescent="0.3">
      <c r="H32">
        <f>ROW(D23)</f>
        <v>23</v>
      </c>
      <c r="I32" t="s">
        <v>1369</v>
      </c>
      <c r="K32" t="s">
        <v>1370</v>
      </c>
    </row>
    <row r="33" spans="1:11" x14ac:dyDescent="0.3">
      <c r="A33">
        <v>0</v>
      </c>
      <c r="B33">
        <v>100</v>
      </c>
    </row>
    <row r="34" spans="1:11" x14ac:dyDescent="0.3">
      <c r="A34">
        <v>40</v>
      </c>
      <c r="B34">
        <v>80</v>
      </c>
      <c r="H34">
        <f>COLUMNS(B19:C24)</f>
        <v>2</v>
      </c>
      <c r="I34" t="s">
        <v>1371</v>
      </c>
      <c r="K34" t="s">
        <v>1373</v>
      </c>
    </row>
    <row r="35" spans="1:11" x14ac:dyDescent="0.3">
      <c r="A35">
        <v>60</v>
      </c>
      <c r="B35">
        <v>60</v>
      </c>
      <c r="H35">
        <f>COLUMNS(B19:F21)</f>
        <v>5</v>
      </c>
      <c r="I35" t="s">
        <v>1372</v>
      </c>
      <c r="K35" t="s">
        <v>1373</v>
      </c>
    </row>
    <row r="36" spans="1:11" x14ac:dyDescent="0.3">
      <c r="A36">
        <v>80</v>
      </c>
      <c r="B36">
        <v>40</v>
      </c>
    </row>
    <row r="37" spans="1:11" x14ac:dyDescent="0.3">
      <c r="A37">
        <v>100</v>
      </c>
      <c r="B37">
        <v>0</v>
      </c>
      <c r="H37">
        <f>ROWS(B19:C24)</f>
        <v>6</v>
      </c>
      <c r="I37" t="s">
        <v>1374</v>
      </c>
      <c r="K37" t="s">
        <v>1375</v>
      </c>
    </row>
    <row r="38" spans="1:11" x14ac:dyDescent="0.3">
      <c r="H38">
        <f>ROWS(B19:F21)</f>
        <v>3</v>
      </c>
      <c r="I38" t="s">
        <v>1376</v>
      </c>
      <c r="K38" t="s">
        <v>1375</v>
      </c>
    </row>
    <row r="39" spans="1:11" x14ac:dyDescent="0.3">
      <c r="B39">
        <v>78</v>
      </c>
    </row>
    <row r="40" spans="1:11" x14ac:dyDescent="0.3">
      <c r="B40">
        <v>0</v>
      </c>
      <c r="C40" t="s">
        <v>1380</v>
      </c>
      <c r="D40" t="e">
        <f>MATCH(B39,B33:B37,0)</f>
        <v>#N/A</v>
      </c>
    </row>
    <row r="41" spans="1:11" x14ac:dyDescent="0.3">
      <c r="B41">
        <v>1</v>
      </c>
      <c r="C41" t="s">
        <v>1381</v>
      </c>
      <c r="D41">
        <f>MATCH(B39,A33:A37,1)</f>
        <v>3</v>
      </c>
    </row>
    <row r="42" spans="1:11" x14ac:dyDescent="0.3">
      <c r="B42">
        <v>1</v>
      </c>
      <c r="C42" t="s">
        <v>1382</v>
      </c>
      <c r="D42">
        <f>MATCH(B39,B33:B37,1)</f>
        <v>5</v>
      </c>
    </row>
    <row r="43" spans="1:11" x14ac:dyDescent="0.3">
      <c r="B43">
        <v>-1</v>
      </c>
      <c r="C43" t="s">
        <v>1384</v>
      </c>
      <c r="D43" t="e">
        <f>MATCH(B39,A33:A37,-1)</f>
        <v>#N/A</v>
      </c>
    </row>
    <row r="44" spans="1:11" x14ac:dyDescent="0.3">
      <c r="B44">
        <v>-1</v>
      </c>
      <c r="C44" t="s">
        <v>1385</v>
      </c>
      <c r="D44">
        <f>MATCH(B39,B33:B37,-1)</f>
        <v>2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topLeftCell="B13" zoomScale="160" zoomScaleNormal="160" workbookViewId="0">
      <selection activeCell="J14" sqref="J14:J22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 x14ac:dyDescent="0.3">
      <c r="A3" s="58" t="s">
        <v>570</v>
      </c>
      <c r="B3" s="83" t="s">
        <v>571</v>
      </c>
      <c r="C3" s="83" t="s">
        <v>572</v>
      </c>
      <c r="D3" s="83" t="str">
        <f>CHOOSE(MID(C3,8,1),"남","여","남","여")</f>
        <v>여</v>
      </c>
      <c r="E3" s="26"/>
      <c r="F3" s="83" t="s">
        <v>573</v>
      </c>
      <c r="G3" s="83">
        <v>5</v>
      </c>
      <c r="H3" s="85">
        <v>2310000</v>
      </c>
      <c r="I3" s="83" t="str">
        <f>VLOOKUP(H3,$K$7:$L$10,2,1)</f>
        <v>일반</v>
      </c>
      <c r="J3" s="26"/>
      <c r="K3" s="26"/>
      <c r="L3" s="26"/>
    </row>
    <row r="4" spans="1:12" x14ac:dyDescent="0.3">
      <c r="A4" s="58" t="s">
        <v>574</v>
      </c>
      <c r="B4" s="83" t="s">
        <v>575</v>
      </c>
      <c r="C4" s="83" t="s">
        <v>576</v>
      </c>
      <c r="D4" s="127" t="str">
        <f t="shared" ref="D4:D10" si="0">CHOOSE(MID(C4,8,1),"남","여","남","여")</f>
        <v>여</v>
      </c>
      <c r="E4" s="26"/>
      <c r="F4" s="83" t="s">
        <v>577</v>
      </c>
      <c r="G4" s="83">
        <v>4</v>
      </c>
      <c r="H4" s="85">
        <v>3564000</v>
      </c>
      <c r="I4" s="127" t="str">
        <f t="shared" ref="I4:I10" si="1">VLOOKUP(H4,$K$7:$L$10,2,1)</f>
        <v>실버</v>
      </c>
      <c r="J4" s="26"/>
      <c r="K4" s="26"/>
      <c r="L4" s="26"/>
    </row>
    <row r="5" spans="1:12" x14ac:dyDescent="0.3">
      <c r="A5" s="58" t="s">
        <v>578</v>
      </c>
      <c r="B5" s="83" t="s">
        <v>579</v>
      </c>
      <c r="C5" s="83" t="s">
        <v>580</v>
      </c>
      <c r="D5" s="127" t="str">
        <f t="shared" si="0"/>
        <v>남</v>
      </c>
      <c r="E5" s="26"/>
      <c r="F5" s="83" t="s">
        <v>581</v>
      </c>
      <c r="G5" s="83">
        <v>3</v>
      </c>
      <c r="H5" s="85">
        <v>1200000</v>
      </c>
      <c r="I5" s="127" t="str">
        <f t="shared" si="1"/>
        <v>일반</v>
      </c>
      <c r="J5" s="26"/>
      <c r="K5" s="164" t="s">
        <v>582</v>
      </c>
      <c r="L5" s="164"/>
    </row>
    <row r="6" spans="1:12" x14ac:dyDescent="0.3">
      <c r="A6" s="58" t="s">
        <v>583</v>
      </c>
      <c r="B6" s="83" t="s">
        <v>584</v>
      </c>
      <c r="C6" s="83" t="s">
        <v>585</v>
      </c>
      <c r="D6" s="127" t="str">
        <f t="shared" si="0"/>
        <v>남</v>
      </c>
      <c r="E6" s="26"/>
      <c r="F6" s="83" t="s">
        <v>586</v>
      </c>
      <c r="G6" s="83">
        <v>7</v>
      </c>
      <c r="H6" s="85">
        <v>3756000</v>
      </c>
      <c r="I6" s="127" t="str">
        <f t="shared" si="1"/>
        <v>실버</v>
      </c>
      <c r="J6" s="26"/>
      <c r="K6" s="83" t="s">
        <v>587</v>
      </c>
      <c r="L6" s="83" t="s">
        <v>252</v>
      </c>
    </row>
    <row r="7" spans="1:12" x14ac:dyDescent="0.3">
      <c r="A7" s="58" t="s">
        <v>589</v>
      </c>
      <c r="B7" s="83" t="s">
        <v>590</v>
      </c>
      <c r="C7" s="84" t="s">
        <v>591</v>
      </c>
      <c r="D7" s="127" t="str">
        <f t="shared" si="0"/>
        <v>남</v>
      </c>
      <c r="E7" s="26"/>
      <c r="F7" s="83" t="s">
        <v>592</v>
      </c>
      <c r="G7" s="83">
        <v>9</v>
      </c>
      <c r="H7" s="85">
        <v>5550000</v>
      </c>
      <c r="I7" s="127" t="str">
        <f t="shared" si="1"/>
        <v>골드</v>
      </c>
      <c r="J7" s="26"/>
      <c r="K7" s="85">
        <v>1000000</v>
      </c>
      <c r="L7" s="83" t="s">
        <v>268</v>
      </c>
    </row>
    <row r="8" spans="1:12" x14ac:dyDescent="0.3">
      <c r="A8" s="58" t="s">
        <v>594</v>
      </c>
      <c r="B8" s="83" t="s">
        <v>595</v>
      </c>
      <c r="C8" s="83" t="s">
        <v>596</v>
      </c>
      <c r="D8" s="127" t="str">
        <f t="shared" si="0"/>
        <v>남</v>
      </c>
      <c r="E8" s="26"/>
      <c r="F8" s="83" t="s">
        <v>384</v>
      </c>
      <c r="G8" s="83">
        <v>11</v>
      </c>
      <c r="H8" s="85">
        <v>7542000</v>
      </c>
      <c r="I8" s="127" t="str">
        <f t="shared" si="1"/>
        <v>VIP</v>
      </c>
      <c r="J8" s="26"/>
      <c r="K8" s="85">
        <v>3000000</v>
      </c>
      <c r="L8" s="83" t="s">
        <v>597</v>
      </c>
    </row>
    <row r="9" spans="1:12" x14ac:dyDescent="0.3">
      <c r="A9" s="58" t="s">
        <v>598</v>
      </c>
      <c r="B9" s="83" t="s">
        <v>599</v>
      </c>
      <c r="C9" s="83" t="s">
        <v>600</v>
      </c>
      <c r="D9" s="127" t="str">
        <f t="shared" si="0"/>
        <v>여</v>
      </c>
      <c r="E9" s="26"/>
      <c r="F9" s="83" t="s">
        <v>601</v>
      </c>
      <c r="G9" s="83">
        <v>8</v>
      </c>
      <c r="H9" s="85">
        <v>4685000</v>
      </c>
      <c r="I9" s="127" t="str">
        <f t="shared" si="1"/>
        <v>실버</v>
      </c>
      <c r="J9" s="26"/>
      <c r="K9" s="85">
        <v>5000000</v>
      </c>
      <c r="L9" s="83" t="s">
        <v>262</v>
      </c>
    </row>
    <row r="10" spans="1:12" x14ac:dyDescent="0.3">
      <c r="A10" s="58" t="s">
        <v>602</v>
      </c>
      <c r="B10" s="83" t="s">
        <v>603</v>
      </c>
      <c r="C10" s="83" t="s">
        <v>604</v>
      </c>
      <c r="D10" s="127" t="str">
        <f t="shared" si="0"/>
        <v>남</v>
      </c>
      <c r="E10" s="26"/>
      <c r="F10" s="83" t="s">
        <v>605</v>
      </c>
      <c r="G10" s="83">
        <v>10</v>
      </c>
      <c r="H10" s="85">
        <v>4112000</v>
      </c>
      <c r="I10" s="127" t="str">
        <f t="shared" si="1"/>
        <v>실버</v>
      </c>
      <c r="J10" s="26"/>
      <c r="K10" s="85">
        <v>7000000</v>
      </c>
      <c r="L10" s="83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 x14ac:dyDescent="0.3">
      <c r="A14" s="83" t="s">
        <v>618</v>
      </c>
      <c r="B14" s="83" t="s">
        <v>619</v>
      </c>
      <c r="C14" s="30">
        <v>315</v>
      </c>
      <c r="D14" s="28">
        <f>C14*INDEX($B$27:$D$27,MATCH(A14,$B$25:$D$25,0))</f>
        <v>8032500</v>
      </c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>
        <f>HLOOKUP(H14,$G$25:$J$27,2,0)+HLOOKUP(H14,$G$25:$J$27,3,0)+I14</f>
        <v>4180000</v>
      </c>
      <c r="K14" s="26"/>
      <c r="L14" s="26"/>
    </row>
    <row r="15" spans="1:12" x14ac:dyDescent="0.3">
      <c r="A15" s="83" t="s">
        <v>618</v>
      </c>
      <c r="B15" s="83" t="s">
        <v>623</v>
      </c>
      <c r="C15" s="30">
        <v>294</v>
      </c>
      <c r="D15" s="28">
        <f t="shared" ref="D15:D22" si="2">C15*INDEX($B$27:$D$27,MATCH(A15,$B$25:$D$25,0))</f>
        <v>7497000</v>
      </c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>
        <f t="shared" ref="J15:J22" si="3">HLOOKUP(H15,$G$25:$J$27,2,0)+HLOOKUP(H15,$G$25:$J$27,3,0)+I15</f>
        <v>2820000</v>
      </c>
      <c r="K15" s="26"/>
      <c r="L15" s="26"/>
    </row>
    <row r="16" spans="1:12" x14ac:dyDescent="0.3">
      <c r="A16" s="83" t="s">
        <v>618</v>
      </c>
      <c r="B16" s="83" t="s">
        <v>619</v>
      </c>
      <c r="C16" s="30">
        <v>357</v>
      </c>
      <c r="D16" s="28">
        <f t="shared" si="2"/>
        <v>9103500</v>
      </c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>
        <f t="shared" si="3"/>
        <v>2150000</v>
      </c>
      <c r="K16" s="26"/>
      <c r="L16" s="26"/>
    </row>
    <row r="17" spans="1:12" x14ac:dyDescent="0.3">
      <c r="A17" s="83" t="s">
        <v>630</v>
      </c>
      <c r="B17" s="83" t="s">
        <v>623</v>
      </c>
      <c r="C17" s="30">
        <v>248</v>
      </c>
      <c r="D17" s="28">
        <f t="shared" si="2"/>
        <v>6851000</v>
      </c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>
        <f t="shared" si="3"/>
        <v>2820000</v>
      </c>
      <c r="K17" s="26"/>
      <c r="L17" s="26"/>
    </row>
    <row r="18" spans="1:12" x14ac:dyDescent="0.3">
      <c r="A18" s="83" t="s">
        <v>630</v>
      </c>
      <c r="B18" s="83" t="s">
        <v>635</v>
      </c>
      <c r="C18" s="30">
        <v>323</v>
      </c>
      <c r="D18" s="28">
        <f t="shared" si="2"/>
        <v>8922875</v>
      </c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>
        <f t="shared" si="3"/>
        <v>2150000</v>
      </c>
      <c r="K18" s="26"/>
      <c r="L18" s="26"/>
    </row>
    <row r="19" spans="1:12" x14ac:dyDescent="0.3">
      <c r="A19" s="83" t="s">
        <v>630</v>
      </c>
      <c r="B19" s="83" t="s">
        <v>623</v>
      </c>
      <c r="C19" s="30">
        <v>355</v>
      </c>
      <c r="D19" s="28">
        <f t="shared" si="2"/>
        <v>9806875</v>
      </c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>
        <f t="shared" si="3"/>
        <v>3550000</v>
      </c>
      <c r="K19" s="26"/>
      <c r="L19" s="26"/>
    </row>
    <row r="20" spans="1:12" x14ac:dyDescent="0.3">
      <c r="A20" s="83" t="s">
        <v>643</v>
      </c>
      <c r="B20" s="83" t="s">
        <v>619</v>
      </c>
      <c r="C20" s="30">
        <v>385</v>
      </c>
      <c r="D20" s="28">
        <f t="shared" si="2"/>
        <v>11365200</v>
      </c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>
        <f t="shared" si="3"/>
        <v>2150000</v>
      </c>
      <c r="K20" s="26"/>
      <c r="L20" s="26"/>
    </row>
    <row r="21" spans="1:12" x14ac:dyDescent="0.3">
      <c r="A21" s="83" t="s">
        <v>643</v>
      </c>
      <c r="B21" s="83" t="s">
        <v>623</v>
      </c>
      <c r="C21" s="30">
        <v>366</v>
      </c>
      <c r="D21" s="28">
        <f t="shared" si="2"/>
        <v>10804320</v>
      </c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>
        <f t="shared" si="3"/>
        <v>4180000</v>
      </c>
      <c r="K21" s="26"/>
      <c r="L21" s="26"/>
    </row>
    <row r="22" spans="1:12" x14ac:dyDescent="0.3">
      <c r="A22" s="83" t="s">
        <v>643</v>
      </c>
      <c r="B22" s="83" t="s">
        <v>635</v>
      </c>
      <c r="C22" s="30">
        <v>374</v>
      </c>
      <c r="D22" s="28">
        <f t="shared" si="2"/>
        <v>11040480</v>
      </c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>
        <f t="shared" si="3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 x14ac:dyDescent="0.3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 x14ac:dyDescent="0.3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 x14ac:dyDescent="0.3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 x14ac:dyDescent="0.3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64" t="s">
        <v>582</v>
      </c>
      <c r="L5" s="164"/>
    </row>
    <row r="6" spans="1:12" x14ac:dyDescent="0.3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topLeftCell="A9" zoomScale="130" zoomScaleNormal="130" workbookViewId="0">
      <selection activeCell="B17" sqref="B17:D17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 t="str">
        <f>HLOOKUP(LEFT(A3,1),$B$13:$D$14,2,0)</f>
        <v>생산부</v>
      </c>
      <c r="E3" s="26"/>
      <c r="F3" s="37" t="s">
        <v>673</v>
      </c>
      <c r="G3" s="9">
        <v>85</v>
      </c>
      <c r="H3" s="9">
        <v>90</v>
      </c>
      <c r="I3" s="133" t="str">
        <f>HLOOKUP(AVERAGE(G3:H3),$G$12:$K$14,3)</f>
        <v>B</v>
      </c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127" t="str">
        <f t="shared" ref="D4:D10" si="0">HLOOKUP(LEFT(A4,1),$B$13:$D$14,2,0)</f>
        <v>관리부</v>
      </c>
      <c r="E4" s="26"/>
      <c r="F4" s="37" t="s">
        <v>675</v>
      </c>
      <c r="G4" s="9">
        <v>65</v>
      </c>
      <c r="H4" s="9">
        <v>70</v>
      </c>
      <c r="I4" s="133" t="str">
        <f t="shared" ref="I4:I9" si="1">HLOOKUP(AVERAGE(G4:H4),$G$12:$K$14,3)</f>
        <v>D</v>
      </c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127" t="str">
        <f t="shared" si="0"/>
        <v>영업부</v>
      </c>
      <c r="E5" s="26"/>
      <c r="F5" s="37" t="s">
        <v>677</v>
      </c>
      <c r="G5" s="9">
        <v>70</v>
      </c>
      <c r="H5" s="9">
        <v>95</v>
      </c>
      <c r="I5" s="133" t="str">
        <f t="shared" si="1"/>
        <v>B</v>
      </c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127" t="str">
        <f t="shared" si="0"/>
        <v>생산부</v>
      </c>
      <c r="E6" s="26"/>
      <c r="F6" s="37" t="s">
        <v>679</v>
      </c>
      <c r="G6" s="9">
        <v>90</v>
      </c>
      <c r="H6" s="9">
        <v>75</v>
      </c>
      <c r="I6" s="133" t="str">
        <f t="shared" si="1"/>
        <v>B</v>
      </c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127" t="str">
        <f t="shared" si="0"/>
        <v>영업부</v>
      </c>
      <c r="E7" s="26"/>
      <c r="F7" s="37" t="s">
        <v>681</v>
      </c>
      <c r="G7" s="9">
        <v>60</v>
      </c>
      <c r="H7" s="9">
        <v>75</v>
      </c>
      <c r="I7" s="133" t="str">
        <f t="shared" si="1"/>
        <v>D</v>
      </c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127" t="str">
        <f t="shared" si="0"/>
        <v>영업부</v>
      </c>
      <c r="E8" s="26"/>
      <c r="F8" s="37" t="s">
        <v>683</v>
      </c>
      <c r="G8" s="9">
        <v>95</v>
      </c>
      <c r="H8" s="9">
        <v>85</v>
      </c>
      <c r="I8" s="133" t="str">
        <f t="shared" si="1"/>
        <v>A</v>
      </c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127" t="str">
        <f t="shared" si="0"/>
        <v>관리부</v>
      </c>
      <c r="E9" s="26"/>
      <c r="F9" s="37" t="s">
        <v>685</v>
      </c>
      <c r="G9" s="9">
        <v>70</v>
      </c>
      <c r="H9" s="9">
        <v>85</v>
      </c>
      <c r="I9" s="133" t="str">
        <f t="shared" si="1"/>
        <v>C</v>
      </c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127" t="str">
        <f t="shared" si="0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65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66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 cm="1">
        <f t="array" ref="H28">INDEX(G18:J21,HLOOKUP(F28,G24:J25,2,0),HLOOKUP(G28,G24:J25,2,0))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 x14ac:dyDescent="0.3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 x14ac:dyDescent="0.3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 x14ac:dyDescent="0.3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 x14ac:dyDescent="0.3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 x14ac:dyDescent="0.3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 x14ac:dyDescent="0.3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 x14ac:dyDescent="0.3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65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66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992D-F2AC-4B93-A53D-30D304A2B0E2}">
  <dimension ref="A2:F27"/>
  <sheetViews>
    <sheetView topLeftCell="A7" zoomScale="145" zoomScaleNormal="145" workbookViewId="0">
      <selection activeCell="A28" sqref="A28"/>
    </sheetView>
  </sheetViews>
  <sheetFormatPr defaultRowHeight="16.5" x14ac:dyDescent="0.3"/>
  <cols>
    <col min="1" max="1" width="13" bestFit="1" customWidth="1"/>
    <col min="2" max="2" width="29.625" customWidth="1"/>
    <col min="3" max="3" width="21.875" customWidth="1"/>
    <col min="4" max="4" width="24.5" customWidth="1"/>
  </cols>
  <sheetData>
    <row r="2" spans="1:6" x14ac:dyDescent="0.3">
      <c r="A2" t="s">
        <v>1388</v>
      </c>
      <c r="B2" t="s">
        <v>1386</v>
      </c>
      <c r="C2" s="134">
        <f ca="1">TODAY()</f>
        <v>46273</v>
      </c>
      <c r="D2" s="136">
        <f ca="1">TODAY()</f>
        <v>46273</v>
      </c>
      <c r="E2" t="s">
        <v>1390</v>
      </c>
      <c r="F2" t="s">
        <v>1391</v>
      </c>
    </row>
    <row r="3" spans="1:6" x14ac:dyDescent="0.3">
      <c r="A3" t="s">
        <v>1389</v>
      </c>
      <c r="B3" t="s">
        <v>1387</v>
      </c>
      <c r="C3" s="135">
        <f ca="1">NOW()</f>
        <v>46273.848304513886</v>
      </c>
      <c r="D3" s="136">
        <f ca="1">NOW()</f>
        <v>46273.848304513886</v>
      </c>
    </row>
    <row r="5" spans="1:6" x14ac:dyDescent="0.3">
      <c r="A5" t="s">
        <v>1393</v>
      </c>
      <c r="B5" t="s">
        <v>1392</v>
      </c>
      <c r="C5" s="134">
        <f>DATE(1974,3,20)</f>
        <v>27108</v>
      </c>
      <c r="D5" t="s">
        <v>1394</v>
      </c>
    </row>
    <row r="6" spans="1:6" x14ac:dyDescent="0.3">
      <c r="B6" t="s">
        <v>1395</v>
      </c>
      <c r="C6" s="134">
        <f>DATE(1974,20,135)</f>
        <v>27741</v>
      </c>
      <c r="D6" t="s">
        <v>1396</v>
      </c>
    </row>
    <row r="7" spans="1:6" x14ac:dyDescent="0.3">
      <c r="A7" t="s">
        <v>1401</v>
      </c>
      <c r="B7" t="s">
        <v>1397</v>
      </c>
      <c r="C7" s="137">
        <f>TIME(17,35,42)</f>
        <v>0.73312500000000003</v>
      </c>
      <c r="D7" t="s">
        <v>1398</v>
      </c>
    </row>
    <row r="8" spans="1:6" x14ac:dyDescent="0.3">
      <c r="B8" t="s">
        <v>1399</v>
      </c>
      <c r="C8" s="137">
        <f>TIME(100,200,-300)</f>
        <v>0.30208333333333304</v>
      </c>
    </row>
    <row r="9" spans="1:6" x14ac:dyDescent="0.3">
      <c r="A9" t="s">
        <v>1402</v>
      </c>
      <c r="B9" t="s">
        <v>1400</v>
      </c>
      <c r="C9" s="138">
        <f>DATE(1996,2,8)+TIME(15,23,45)</f>
        <v>35103.641493055555</v>
      </c>
    </row>
    <row r="11" spans="1:6" x14ac:dyDescent="0.3">
      <c r="A11" t="s">
        <v>1407</v>
      </c>
      <c r="B11" t="s">
        <v>1403</v>
      </c>
      <c r="C11">
        <f ca="1">YEAR(NOW())</f>
        <v>2026</v>
      </c>
    </row>
    <row r="12" spans="1:6" x14ac:dyDescent="0.3">
      <c r="A12" t="s">
        <v>441</v>
      </c>
      <c r="B12" t="s">
        <v>1404</v>
      </c>
      <c r="C12">
        <f ca="1">MONTH(NOW())</f>
        <v>9</v>
      </c>
    </row>
    <row r="13" spans="1:6" x14ac:dyDescent="0.3">
      <c r="A13" t="s">
        <v>1408</v>
      </c>
      <c r="B13" t="s">
        <v>1405</v>
      </c>
      <c r="C13">
        <f ca="1">DAY(NOW())</f>
        <v>8</v>
      </c>
    </row>
    <row r="14" spans="1:6" x14ac:dyDescent="0.3">
      <c r="A14" t="s">
        <v>1409</v>
      </c>
      <c r="B14" t="s">
        <v>1406</v>
      </c>
      <c r="C14">
        <f ca="1">WEEKDAY(NOW(),1)</f>
        <v>3</v>
      </c>
      <c r="D14" t="s">
        <v>1410</v>
      </c>
    </row>
    <row r="15" spans="1:6" x14ac:dyDescent="0.3">
      <c r="B15" t="s">
        <v>1411</v>
      </c>
      <c r="C15">
        <f ca="1">WEEKDAY(NOW(),2)</f>
        <v>2</v>
      </c>
      <c r="D15" t="s">
        <v>1412</v>
      </c>
    </row>
    <row r="16" spans="1:6" x14ac:dyDescent="0.3">
      <c r="B16" t="s">
        <v>1414</v>
      </c>
      <c r="C16">
        <f ca="1">WEEKDAY(NOW(),3)</f>
        <v>1</v>
      </c>
      <c r="D16" t="s">
        <v>1413</v>
      </c>
    </row>
    <row r="17" spans="1:4" x14ac:dyDescent="0.3">
      <c r="A17" t="s">
        <v>1418</v>
      </c>
      <c r="B17" t="s">
        <v>1416</v>
      </c>
      <c r="C17">
        <f ca="1">HOUR(NOW())</f>
        <v>20</v>
      </c>
    </row>
    <row r="18" spans="1:4" x14ac:dyDescent="0.3">
      <c r="A18" t="s">
        <v>1419</v>
      </c>
      <c r="B18" t="s">
        <v>1415</v>
      </c>
      <c r="C18">
        <f ca="1">MINUTE(NOW())</f>
        <v>21</v>
      </c>
    </row>
    <row r="19" spans="1:4" x14ac:dyDescent="0.3">
      <c r="A19" t="s">
        <v>1420</v>
      </c>
      <c r="B19" t="s">
        <v>1417</v>
      </c>
      <c r="C19">
        <f ca="1">SECOND(NOW())</f>
        <v>34</v>
      </c>
    </row>
    <row r="21" spans="1:4" x14ac:dyDescent="0.3">
      <c r="A21" t="s">
        <v>1421</v>
      </c>
      <c r="B21" t="s">
        <v>1422</v>
      </c>
      <c r="C21">
        <f>_xlfn.DAYS("2027-09-20","2026-08-05")</f>
        <v>411</v>
      </c>
    </row>
    <row r="22" spans="1:4" x14ac:dyDescent="0.3">
      <c r="B22" t="s">
        <v>1423</v>
      </c>
      <c r="C22">
        <f>_xlfn.DAYS("2026-08-05","2027-09-20")</f>
        <v>-411</v>
      </c>
    </row>
    <row r="24" spans="1:4" ht="49.5" x14ac:dyDescent="0.3">
      <c r="A24" s="124" t="s">
        <v>1425</v>
      </c>
      <c r="B24" t="s">
        <v>1424</v>
      </c>
      <c r="C24">
        <f>EDATE("2026-09-08",4)</f>
        <v>46395</v>
      </c>
      <c r="D24" s="134">
        <f>EDATE("2026-09-08",4)</f>
        <v>46395</v>
      </c>
    </row>
    <row r="26" spans="1:4" ht="66" x14ac:dyDescent="0.3">
      <c r="A26" s="124" t="s">
        <v>1427</v>
      </c>
      <c r="B26" t="s">
        <v>1426</v>
      </c>
      <c r="C26">
        <f>EOMONTH("2026-09-08",2)</f>
        <v>46356</v>
      </c>
      <c r="D26" s="134">
        <f>EOMONTH("2026-09-08",2)</f>
        <v>46356</v>
      </c>
    </row>
    <row r="27" spans="1:4" ht="82.5" x14ac:dyDescent="0.3">
      <c r="A27" s="124" t="s">
        <v>1429</v>
      </c>
      <c r="B27" t="s">
        <v>1428</v>
      </c>
      <c r="C27">
        <f>WORKDAY("2026-09-08",10)</f>
        <v>46287</v>
      </c>
      <c r="D27" s="134">
        <f>WORKDAY("2026-09-08",10)</f>
        <v>46287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topLeftCell="E13" zoomScale="145" zoomScaleNormal="145" workbookViewId="0">
      <selection activeCell="O22" sqref="O22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4">
        <f>DATE(MID(C3,1,2),MID(C3,3,2),MID(C3,5,2))</f>
        <v>32478</v>
      </c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 t="str">
        <f>YEAR($J$1)-YEAR(H3)&amp;"년차("&amp;YEAR($J$1)-(1900+LEFT(I3,2))&amp;")"</f>
        <v>2년차(33)</v>
      </c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4">
        <f t="shared" ref="D4:D11" si="0">DATE(MID(C4,1,2),MID(C4,3,2),MID(C4,5,2))</f>
        <v>30522</v>
      </c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131" t="str">
        <f t="shared" ref="J4:J11" si="1">YEAR($J$1)-YEAR(H4)&amp;"년차("&amp;YEAR($J$1)-(1900+LEFT(I4,2))&amp;")"</f>
        <v>10년차(40)</v>
      </c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4">
        <f t="shared" si="0"/>
        <v>31658</v>
      </c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131" t="str">
        <f t="shared" si="1"/>
        <v>7년차(36)</v>
      </c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4">
        <f t="shared" si="0"/>
        <v>33833</v>
      </c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131" t="str">
        <f t="shared" si="1"/>
        <v>9년차(41)</v>
      </c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4">
        <f t="shared" si="0"/>
        <v>30999</v>
      </c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131" t="str">
        <f t="shared" si="1"/>
        <v>7년차(34)</v>
      </c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4">
        <f t="shared" si="0"/>
        <v>29882</v>
      </c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131" t="str">
        <f t="shared" si="1"/>
        <v>3년차(30)</v>
      </c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4">
        <f t="shared" si="0"/>
        <v>33241</v>
      </c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131" t="str">
        <f t="shared" si="1"/>
        <v>8년차(39)</v>
      </c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4">
        <f t="shared" si="0"/>
        <v>32357</v>
      </c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131" t="str">
        <f t="shared" si="1"/>
        <v>5년차(36)</v>
      </c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4">
        <f t="shared" si="0"/>
        <v>33041</v>
      </c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131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64" t="s">
        <v>776</v>
      </c>
      <c r="M14" s="164"/>
    </row>
    <row r="15" spans="1:13" x14ac:dyDescent="0.3">
      <c r="A15" s="2" t="s">
        <v>777</v>
      </c>
      <c r="B15" s="74">
        <v>45748</v>
      </c>
      <c r="C15" s="2">
        <v>4</v>
      </c>
      <c r="D15" s="74">
        <f>WORKDAY(B15,C15)</f>
        <v>45754</v>
      </c>
      <c r="E15" s="26"/>
      <c r="F15" s="2">
        <v>5</v>
      </c>
      <c r="G15" s="2">
        <v>1</v>
      </c>
      <c r="H15" s="2" t="s">
        <v>778</v>
      </c>
      <c r="I15" s="74">
        <v>44990</v>
      </c>
      <c r="J15" s="2" t="str">
        <f>VLOOKUP(WEEKDAY(I15,2),$L$16:$M$22,2,0)</f>
        <v>일요일</v>
      </c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4">
        <v>45748</v>
      </c>
      <c r="C16" s="2">
        <v>8</v>
      </c>
      <c r="D16" s="74">
        <f t="shared" ref="D16:D24" si="2">WORKDAY(B16,C16)</f>
        <v>45758</v>
      </c>
      <c r="E16" s="26"/>
      <c r="F16" s="2">
        <v>5</v>
      </c>
      <c r="G16" s="2">
        <v>2</v>
      </c>
      <c r="H16" s="2" t="s">
        <v>782</v>
      </c>
      <c r="I16" s="74">
        <v>45187</v>
      </c>
      <c r="J16" s="131" t="str">
        <f t="shared" ref="J16:J24" si="3">VLOOKUP(WEEKDAY(I16,2),$L$16:$M$22,2,0)</f>
        <v>월요일</v>
      </c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4">
        <v>45748</v>
      </c>
      <c r="C17" s="2">
        <v>5</v>
      </c>
      <c r="D17" s="74">
        <f t="shared" si="2"/>
        <v>45755</v>
      </c>
      <c r="E17" s="26"/>
      <c r="F17" s="2">
        <v>5</v>
      </c>
      <c r="G17" s="2">
        <v>3</v>
      </c>
      <c r="H17" s="2" t="s">
        <v>785</v>
      </c>
      <c r="I17" s="74">
        <v>45098</v>
      </c>
      <c r="J17" s="131" t="str">
        <f t="shared" si="3"/>
        <v>수요일</v>
      </c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4">
        <v>45757</v>
      </c>
      <c r="C18" s="2">
        <v>6</v>
      </c>
      <c r="D18" s="74">
        <f t="shared" si="2"/>
        <v>45765</v>
      </c>
      <c r="E18" s="26"/>
      <c r="F18" s="2">
        <v>5</v>
      </c>
      <c r="G18" s="2">
        <v>4</v>
      </c>
      <c r="H18" s="2" t="s">
        <v>788</v>
      </c>
      <c r="I18" s="74">
        <v>45261</v>
      </c>
      <c r="J18" s="131" t="str">
        <f t="shared" si="3"/>
        <v>금요일</v>
      </c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4">
        <v>45757</v>
      </c>
      <c r="C19" s="2">
        <v>7</v>
      </c>
      <c r="D19" s="74">
        <f t="shared" si="2"/>
        <v>45768</v>
      </c>
      <c r="E19" s="26"/>
      <c r="F19" s="2">
        <v>5</v>
      </c>
      <c r="G19" s="2">
        <v>5</v>
      </c>
      <c r="H19" s="2" t="s">
        <v>791</v>
      </c>
      <c r="I19" s="74">
        <v>45132</v>
      </c>
      <c r="J19" s="131" t="str">
        <f t="shared" si="3"/>
        <v>화요일</v>
      </c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4">
        <v>45757</v>
      </c>
      <c r="C20" s="2">
        <v>9</v>
      </c>
      <c r="D20" s="74">
        <f t="shared" si="2"/>
        <v>45770</v>
      </c>
      <c r="E20" s="26"/>
      <c r="F20" s="2">
        <v>6</v>
      </c>
      <c r="G20" s="2">
        <v>1</v>
      </c>
      <c r="H20" s="2" t="s">
        <v>794</v>
      </c>
      <c r="I20" s="74">
        <v>44656</v>
      </c>
      <c r="J20" s="131" t="str">
        <f t="shared" si="3"/>
        <v>화요일</v>
      </c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4">
        <v>45757</v>
      </c>
      <c r="C21" s="2">
        <v>4</v>
      </c>
      <c r="D21" s="74">
        <f t="shared" si="2"/>
        <v>45763</v>
      </c>
      <c r="E21" s="26"/>
      <c r="F21" s="2">
        <v>6</v>
      </c>
      <c r="G21" s="2">
        <v>2</v>
      </c>
      <c r="H21" s="2" t="s">
        <v>797</v>
      </c>
      <c r="I21" s="74">
        <v>44786</v>
      </c>
      <c r="J21" s="131" t="str">
        <f t="shared" si="3"/>
        <v>토요일</v>
      </c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4">
        <v>45763</v>
      </c>
      <c r="C22" s="2">
        <v>8</v>
      </c>
      <c r="D22" s="74">
        <f t="shared" si="2"/>
        <v>45775</v>
      </c>
      <c r="E22" s="26"/>
      <c r="F22" s="2">
        <v>6</v>
      </c>
      <c r="G22" s="2">
        <v>3</v>
      </c>
      <c r="H22" s="2" t="s">
        <v>800</v>
      </c>
      <c r="I22" s="74">
        <v>44874</v>
      </c>
      <c r="J22" s="131" t="str">
        <f t="shared" si="3"/>
        <v>수요일</v>
      </c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4">
        <v>45763</v>
      </c>
      <c r="C23" s="2">
        <v>5</v>
      </c>
      <c r="D23" s="74">
        <f t="shared" si="2"/>
        <v>45770</v>
      </c>
      <c r="E23" s="26"/>
      <c r="F23" s="2">
        <v>6</v>
      </c>
      <c r="G23" s="2">
        <v>4</v>
      </c>
      <c r="H23" s="2" t="s">
        <v>803</v>
      </c>
      <c r="I23" s="74">
        <v>44753</v>
      </c>
      <c r="J23" s="131" t="str">
        <f t="shared" si="3"/>
        <v>월요일</v>
      </c>
      <c r="K23" s="26"/>
      <c r="L23" s="26"/>
      <c r="M23" s="26"/>
    </row>
    <row r="24" spans="1:13" x14ac:dyDescent="0.3">
      <c r="A24" s="2" t="s">
        <v>804</v>
      </c>
      <c r="B24" s="74">
        <v>45763</v>
      </c>
      <c r="C24" s="2">
        <v>7</v>
      </c>
      <c r="D24" s="74">
        <f t="shared" si="2"/>
        <v>45772</v>
      </c>
      <c r="E24" s="26"/>
      <c r="F24" s="2">
        <v>6</v>
      </c>
      <c r="G24" s="2">
        <v>5</v>
      </c>
      <c r="H24" s="2" t="s">
        <v>805</v>
      </c>
      <c r="I24" s="74">
        <v>44781</v>
      </c>
      <c r="J24" s="131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 x14ac:dyDescent="0.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 x14ac:dyDescent="0.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 x14ac:dyDescent="0.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 x14ac:dyDescent="0.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 x14ac:dyDescent="0.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 x14ac:dyDescent="0.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 x14ac:dyDescent="0.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 x14ac:dyDescent="0.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64" t="s">
        <v>776</v>
      </c>
      <c r="M14" s="164"/>
    </row>
    <row r="15" spans="1:13" x14ac:dyDescent="0.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 x14ac:dyDescent="0.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 x14ac:dyDescent="0.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 x14ac:dyDescent="0.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 x14ac:dyDescent="0.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 x14ac:dyDescent="0.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 x14ac:dyDescent="0.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 x14ac:dyDescent="0.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 x14ac:dyDescent="0.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 x14ac:dyDescent="0.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P26"/>
  <sheetViews>
    <sheetView tabSelected="1" topLeftCell="A4" zoomScale="130" zoomScaleNormal="130" workbookViewId="0">
      <selection activeCell="I13" sqref="I13:I17"/>
    </sheetView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 t="str">
        <f>IF(WEEKDAY(C3,2)&lt;=5,"평일","주말")</f>
        <v>평일</v>
      </c>
      <c r="E3" s="26"/>
      <c r="F3" s="83" t="s">
        <v>817</v>
      </c>
      <c r="G3" s="83" t="s">
        <v>818</v>
      </c>
      <c r="H3" s="74">
        <v>41081</v>
      </c>
      <c r="I3" s="78">
        <f ca="1">YEAR(TODAY())-YEAR(H3)</f>
        <v>14</v>
      </c>
    </row>
    <row r="4" spans="1:9" x14ac:dyDescent="0.3">
      <c r="A4" s="35" t="s">
        <v>706</v>
      </c>
      <c r="B4" s="35" t="s">
        <v>819</v>
      </c>
      <c r="C4" s="36">
        <v>45954</v>
      </c>
      <c r="D4" s="35" t="str">
        <f t="shared" ref="D4:D9" si="0">IF(WEEKDAY(C4,2)&lt;=5,"평일","주말")</f>
        <v>평일</v>
      </c>
      <c r="E4" s="26"/>
      <c r="F4" s="83" t="s">
        <v>820</v>
      </c>
      <c r="G4" s="83" t="s">
        <v>821</v>
      </c>
      <c r="H4" s="74">
        <v>44726</v>
      </c>
      <c r="I4" s="78">
        <f t="shared" ref="I4:I9" ca="1" si="1">YEAR(TODAY())-YEAR(H4)</f>
        <v>4</v>
      </c>
    </row>
    <row r="5" spans="1:9" x14ac:dyDescent="0.3">
      <c r="A5" s="35" t="s">
        <v>204</v>
      </c>
      <c r="B5" s="35" t="s">
        <v>823</v>
      </c>
      <c r="C5" s="36">
        <v>45721</v>
      </c>
      <c r="D5" s="35" t="str">
        <f t="shared" si="0"/>
        <v>평일</v>
      </c>
      <c r="E5" s="26"/>
      <c r="F5" s="83" t="s">
        <v>824</v>
      </c>
      <c r="G5" s="83" t="s">
        <v>818</v>
      </c>
      <c r="H5" s="74">
        <v>44476</v>
      </c>
      <c r="I5" s="78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35" t="str">
        <f t="shared" si="0"/>
        <v>주말</v>
      </c>
      <c r="E6" s="26"/>
      <c r="F6" s="83" t="s">
        <v>826</v>
      </c>
      <c r="G6" s="83" t="s">
        <v>827</v>
      </c>
      <c r="H6" s="74">
        <v>44896</v>
      </c>
      <c r="I6" s="78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35" t="str">
        <f t="shared" si="0"/>
        <v>평일</v>
      </c>
      <c r="E7" s="26"/>
      <c r="F7" s="83" t="s">
        <v>830</v>
      </c>
      <c r="G7" s="83" t="s">
        <v>831</v>
      </c>
      <c r="H7" s="74">
        <v>44280</v>
      </c>
      <c r="I7" s="78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35" t="str">
        <f t="shared" si="0"/>
        <v>평일</v>
      </c>
      <c r="E8" s="26"/>
      <c r="F8" s="83" t="s">
        <v>834</v>
      </c>
      <c r="G8" s="83" t="s">
        <v>821</v>
      </c>
      <c r="H8" s="74">
        <v>45025</v>
      </c>
      <c r="I8" s="78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35" t="str">
        <f t="shared" si="0"/>
        <v>평일</v>
      </c>
      <c r="E9" s="26"/>
      <c r="F9" s="83" t="s">
        <v>837</v>
      </c>
      <c r="G9" s="83" t="s">
        <v>827</v>
      </c>
      <c r="H9" s="74">
        <v>43940</v>
      </c>
      <c r="I9" s="78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 x14ac:dyDescent="0.3">
      <c r="A13" s="79" t="s">
        <v>845</v>
      </c>
      <c r="B13" s="80">
        <v>46528</v>
      </c>
      <c r="C13" s="83">
        <f ca="1">_xlfn.DAYS(B13,TODAY())</f>
        <v>255</v>
      </c>
      <c r="D13" s="26"/>
      <c r="E13" s="26"/>
      <c r="F13" s="83" t="s">
        <v>846</v>
      </c>
      <c r="G13" s="83" t="s">
        <v>847</v>
      </c>
      <c r="H13" s="81">
        <v>0.54861111111111105</v>
      </c>
      <c r="I13" s="83" t="str">
        <f>HOUR(H13)&amp;"시"</f>
        <v>13시</v>
      </c>
    </row>
    <row r="14" spans="1:9" x14ac:dyDescent="0.3">
      <c r="A14" s="79" t="s">
        <v>848</v>
      </c>
      <c r="B14" s="80">
        <v>46499</v>
      </c>
      <c r="C14" s="131">
        <f t="shared" ref="C14:C20" ca="1" si="2">_xlfn.DAYS(B14,TODAY())</f>
        <v>226</v>
      </c>
      <c r="D14" s="26"/>
      <c r="E14" s="26"/>
      <c r="F14" s="83" t="s">
        <v>849</v>
      </c>
      <c r="G14" s="83" t="s">
        <v>850</v>
      </c>
      <c r="H14" s="81">
        <v>0.63194444444444442</v>
      </c>
      <c r="I14" s="131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131">
        <f t="shared" ca="1" si="2"/>
        <v>137</v>
      </c>
      <c r="D15" s="26"/>
      <c r="E15" s="26"/>
      <c r="F15" s="83" t="s">
        <v>852</v>
      </c>
      <c r="G15" s="83" t="s">
        <v>853</v>
      </c>
      <c r="H15" s="81">
        <v>0.59027777777777779</v>
      </c>
      <c r="I15" s="131" t="str">
        <f t="shared" si="3"/>
        <v>14시</v>
      </c>
    </row>
    <row r="16" spans="1:9" x14ac:dyDescent="0.3">
      <c r="A16" s="79" t="s">
        <v>854</v>
      </c>
      <c r="B16" s="80">
        <v>46592</v>
      </c>
      <c r="C16" s="131">
        <f t="shared" ca="1" si="2"/>
        <v>319</v>
      </c>
      <c r="D16" s="26"/>
      <c r="E16" s="26"/>
      <c r="F16" s="83" t="s">
        <v>179</v>
      </c>
      <c r="G16" s="83" t="s">
        <v>856</v>
      </c>
      <c r="H16" s="81">
        <v>0.63194444444444442</v>
      </c>
      <c r="I16" s="131" t="str">
        <f t="shared" si="3"/>
        <v>15시</v>
      </c>
    </row>
    <row r="17" spans="1:16" x14ac:dyDescent="0.3">
      <c r="A17" s="79" t="s">
        <v>857</v>
      </c>
      <c r="B17" s="80">
        <v>46471</v>
      </c>
      <c r="C17" s="131">
        <f t="shared" ca="1" si="2"/>
        <v>198</v>
      </c>
      <c r="D17" s="26"/>
      <c r="E17" s="26"/>
      <c r="F17" s="83" t="s">
        <v>858</v>
      </c>
      <c r="G17" s="83" t="s">
        <v>859</v>
      </c>
      <c r="H17" s="81">
        <v>0.54861111111111105</v>
      </c>
      <c r="I17" s="131" t="str">
        <f t="shared" si="3"/>
        <v>13시</v>
      </c>
    </row>
    <row r="18" spans="1:16" x14ac:dyDescent="0.3">
      <c r="A18" s="79" t="s">
        <v>860</v>
      </c>
      <c r="B18" s="80">
        <v>46505</v>
      </c>
      <c r="C18" s="131">
        <f t="shared" ca="1" si="2"/>
        <v>232</v>
      </c>
      <c r="D18" s="26"/>
      <c r="E18" s="26"/>
      <c r="F18" s="26"/>
      <c r="G18" s="26"/>
      <c r="H18" s="26"/>
      <c r="I18" s="26"/>
    </row>
    <row r="19" spans="1:16" x14ac:dyDescent="0.3">
      <c r="A19" s="79" t="s">
        <v>861</v>
      </c>
      <c r="B19" s="80">
        <v>46597</v>
      </c>
      <c r="C19" s="131">
        <f t="shared" ca="1" si="2"/>
        <v>324</v>
      </c>
      <c r="D19" s="26"/>
      <c r="E19" s="26"/>
      <c r="F19" s="4" t="s">
        <v>1153</v>
      </c>
      <c r="G19" s="4" t="s">
        <v>1154</v>
      </c>
      <c r="H19" s="26"/>
      <c r="I19" s="26"/>
    </row>
    <row r="20" spans="1:16" x14ac:dyDescent="0.3">
      <c r="A20" s="79" t="s">
        <v>862</v>
      </c>
      <c r="B20" s="80">
        <v>46568</v>
      </c>
      <c r="C20" s="131">
        <f t="shared" ca="1" si="2"/>
        <v>295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16" x14ac:dyDescent="0.3">
      <c r="F21" s="114">
        <v>5587</v>
      </c>
      <c r="G21" s="115">
        <v>0.4375</v>
      </c>
      <c r="H21" s="115">
        <v>0.47916666666666669</v>
      </c>
      <c r="I21" s="116">
        <f>((HOUR(H21)*60+MINUTE(H21))-(HOUR(G21)*60+MINUTE(G21)))/10*200</f>
        <v>1200</v>
      </c>
      <c r="K21" s="168">
        <f>HOUR(G21)*60</f>
        <v>600</v>
      </c>
      <c r="L21">
        <f>MINUTE(G21)</f>
        <v>30</v>
      </c>
      <c r="M21" s="167">
        <f>HOUR(G21)*60+MINUTE(G21)</f>
        <v>630</v>
      </c>
      <c r="N21" s="167">
        <f>HOUR(H21)*60+MINUTE(H21)</f>
        <v>690</v>
      </c>
      <c r="O21">
        <f>N21-M21</f>
        <v>60</v>
      </c>
      <c r="P21">
        <f>O21/10*200</f>
        <v>1200</v>
      </c>
    </row>
    <row r="22" spans="1:16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((HOUR(H22)*60+MINUTE(H22))-(HOUR(G22)*60+MINUTE(G22)))/10*200</f>
        <v>1600</v>
      </c>
      <c r="K22" s="168">
        <f t="shared" ref="K22:K26" si="5">HOUR(G22)*60</f>
        <v>660</v>
      </c>
      <c r="L22">
        <f t="shared" ref="L22:L26" si="6">MINUTE(G22)</f>
        <v>0</v>
      </c>
      <c r="M22" s="168">
        <f t="shared" ref="M22:M26" si="7">HOUR(G22)*60+MINUTE(G22)</f>
        <v>660</v>
      </c>
      <c r="N22" s="168">
        <f t="shared" ref="N22:N26" si="8">HOUR(H22)*60+MINUTE(H22)</f>
        <v>740</v>
      </c>
      <c r="O22">
        <f t="shared" ref="O22:O26" si="9">N22-M22</f>
        <v>80</v>
      </c>
      <c r="P22">
        <f t="shared" ref="P22:P26" si="10">O22/10*200</f>
        <v>1600</v>
      </c>
    </row>
    <row r="23" spans="1:16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  <c r="K23" s="168">
        <f t="shared" si="5"/>
        <v>660</v>
      </c>
      <c r="L23">
        <f t="shared" si="6"/>
        <v>30</v>
      </c>
      <c r="M23" s="168">
        <f t="shared" si="7"/>
        <v>690</v>
      </c>
      <c r="N23" s="168">
        <f t="shared" si="8"/>
        <v>830</v>
      </c>
      <c r="O23">
        <f t="shared" si="9"/>
        <v>140</v>
      </c>
      <c r="P23">
        <f t="shared" si="10"/>
        <v>2800</v>
      </c>
    </row>
    <row r="24" spans="1:16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  <c r="K24" s="168">
        <f t="shared" si="5"/>
        <v>720</v>
      </c>
      <c r="L24">
        <f t="shared" si="6"/>
        <v>0</v>
      </c>
      <c r="M24" s="168">
        <f t="shared" si="7"/>
        <v>720</v>
      </c>
      <c r="N24" s="168">
        <f t="shared" si="8"/>
        <v>770</v>
      </c>
      <c r="O24">
        <f t="shared" si="9"/>
        <v>50</v>
      </c>
      <c r="P24">
        <f t="shared" si="10"/>
        <v>1000</v>
      </c>
    </row>
    <row r="25" spans="1:16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  <c r="K25" s="168">
        <f t="shared" si="5"/>
        <v>720</v>
      </c>
      <c r="L25">
        <f t="shared" si="6"/>
        <v>30</v>
      </c>
      <c r="M25" s="168">
        <f t="shared" si="7"/>
        <v>750</v>
      </c>
      <c r="N25" s="168">
        <f t="shared" si="8"/>
        <v>920</v>
      </c>
      <c r="O25">
        <f t="shared" si="9"/>
        <v>170</v>
      </c>
      <c r="P25">
        <f t="shared" si="10"/>
        <v>3400</v>
      </c>
    </row>
    <row r="26" spans="1:16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  <c r="K26" s="168">
        <f t="shared" si="5"/>
        <v>780</v>
      </c>
      <c r="L26">
        <f t="shared" si="6"/>
        <v>0</v>
      </c>
      <c r="M26" s="168">
        <f t="shared" si="7"/>
        <v>780</v>
      </c>
      <c r="N26" s="168">
        <f t="shared" si="8"/>
        <v>980</v>
      </c>
      <c r="O26">
        <f t="shared" si="9"/>
        <v>200</v>
      </c>
      <c r="P26">
        <f t="shared" si="10"/>
        <v>4000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 x14ac:dyDescent="0.3">
      <c r="A13" s="79" t="s">
        <v>845</v>
      </c>
      <c r="B13" s="80">
        <v>46528</v>
      </c>
      <c r="C13" s="93">
        <f ca="1">_xlfn.DAYS(B13,TODAY())</f>
        <v>255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 x14ac:dyDescent="0.3">
      <c r="A14" s="79" t="s">
        <v>848</v>
      </c>
      <c r="B14" s="80">
        <v>46499</v>
      </c>
      <c r="C14" s="93">
        <f t="shared" ref="C14:C20" ca="1" si="2">_xlfn.DAYS(B14,TODAY())</f>
        <v>226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93">
        <f t="shared" ca="1" si="2"/>
        <v>137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 x14ac:dyDescent="0.3">
      <c r="A16" s="79" t="s">
        <v>854</v>
      </c>
      <c r="B16" s="80">
        <v>46592</v>
      </c>
      <c r="C16" s="93">
        <f t="shared" ca="1" si="2"/>
        <v>319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 x14ac:dyDescent="0.3">
      <c r="A17" s="79" t="s">
        <v>857</v>
      </c>
      <c r="B17" s="80">
        <v>46471</v>
      </c>
      <c r="C17" s="93">
        <f t="shared" ca="1" si="2"/>
        <v>198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 x14ac:dyDescent="0.3">
      <c r="A18" s="79" t="s">
        <v>860</v>
      </c>
      <c r="B18" s="80">
        <v>46505</v>
      </c>
      <c r="C18" s="93">
        <f t="shared" ca="1" si="2"/>
        <v>232</v>
      </c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93">
        <f t="shared" ca="1" si="2"/>
        <v>324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93">
        <f t="shared" ca="1" si="2"/>
        <v>295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59"/>
  <sheetViews>
    <sheetView topLeftCell="A19" zoomScale="130" zoomScaleNormal="130" workbookViewId="0">
      <selection activeCell="J27" sqref="J27:J33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3" width="17.625" style="32" customWidth="1"/>
    <col min="4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107" t="str">
        <f>PROPER(D3)&amp;"("&amp;UPPER(C3)&amp;")"</f>
        <v>Kimkh(EAGLES)</v>
      </c>
      <c r="F3" s="7"/>
      <c r="G3" s="107" t="s">
        <v>876</v>
      </c>
      <c r="H3" s="107" t="s">
        <v>877</v>
      </c>
      <c r="I3" s="107"/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120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107"/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120" t="str">
        <f t="shared" si="0"/>
        <v>Parkjm(LIONS)</v>
      </c>
      <c r="F5" s="7"/>
      <c r="G5" s="107" t="s">
        <v>886</v>
      </c>
      <c r="H5" s="107" t="s">
        <v>887</v>
      </c>
      <c r="I5" s="107"/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120" t="str">
        <f t="shared" si="0"/>
        <v>Kimjk(BEARS)</v>
      </c>
      <c r="F6" s="7"/>
      <c r="G6" s="107" t="s">
        <v>891</v>
      </c>
      <c r="H6" s="107" t="s">
        <v>892</v>
      </c>
      <c r="I6" s="107"/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120" t="str">
        <f t="shared" si="0"/>
        <v>Yoonbw(KTWIZ)</v>
      </c>
      <c r="F7" s="7"/>
      <c r="G7" s="107" t="s">
        <v>896</v>
      </c>
      <c r="H7" s="107" t="s">
        <v>835</v>
      </c>
      <c r="I7" s="107"/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120" t="str">
        <f t="shared" si="0"/>
        <v>Ohsh(TIGERS)</v>
      </c>
      <c r="F8" s="7"/>
      <c r="G8" s="107" t="s">
        <v>900</v>
      </c>
      <c r="H8" s="107" t="s">
        <v>901</v>
      </c>
      <c r="I8" s="107"/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120" t="str">
        <f t="shared" si="0"/>
        <v>Songhm(TWINS)</v>
      </c>
      <c r="F9" s="7"/>
      <c r="G9" s="107" t="s">
        <v>905</v>
      </c>
      <c r="H9" s="107" t="s">
        <v>815</v>
      </c>
      <c r="I9" s="107"/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120" t="str">
        <f t="shared" si="0"/>
        <v>Jangjb(DINOS)</v>
      </c>
      <c r="F10" s="7"/>
      <c r="G10" s="107" t="s">
        <v>909</v>
      </c>
      <c r="H10" s="107" t="s">
        <v>910</v>
      </c>
      <c r="I10" s="107"/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120" t="str">
        <f t="shared" si="0"/>
        <v>Haneh(GIANTS)</v>
      </c>
      <c r="F11" s="7"/>
      <c r="G11" s="107" t="s">
        <v>914</v>
      </c>
      <c r="H11" s="107" t="s">
        <v>915</v>
      </c>
      <c r="I11" s="107"/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120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21" t="str">
        <f t="shared" ref="J28:J33" si="1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21" t="str">
        <f t="shared" si="1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21" t="str">
        <f t="shared" si="1"/>
        <v>PSY-725-KR</v>
      </c>
    </row>
    <row r="31" spans="1:10" x14ac:dyDescent="0.3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21" t="str">
        <f t="shared" si="1"/>
        <v>NOV-264-KR</v>
      </c>
    </row>
    <row r="32" spans="1:10" x14ac:dyDescent="0.3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21" t="str">
        <f t="shared" si="1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21" t="str">
        <f t="shared" si="1"/>
        <v>LAN-184-KR</v>
      </c>
    </row>
    <row r="36" spans="1:10" x14ac:dyDescent="0.3">
      <c r="B36" s="32" t="s">
        <v>1196</v>
      </c>
    </row>
    <row r="38" spans="1:10" x14ac:dyDescent="0.3">
      <c r="B38" s="32" t="str">
        <f>LEFT(B36,6)</f>
        <v>MBC 아카</v>
      </c>
      <c r="C38" s="32" t="s">
        <v>1198</v>
      </c>
      <c r="E38" s="32" t="s">
        <v>1197</v>
      </c>
    </row>
    <row r="39" spans="1:10" x14ac:dyDescent="0.3">
      <c r="B39" s="32" t="str">
        <f>RIGHT(B36,6)</f>
        <v>데미 서면점</v>
      </c>
      <c r="C39" s="32" t="s">
        <v>1199</v>
      </c>
      <c r="E39" s="32" t="s">
        <v>1200</v>
      </c>
    </row>
    <row r="40" spans="1:10" x14ac:dyDescent="0.3">
      <c r="B40" s="32" t="str">
        <f>MID(B36,3,5)</f>
        <v>C 아카데</v>
      </c>
      <c r="C40" s="32" t="s">
        <v>1201</v>
      </c>
      <c r="E40" s="32" t="s">
        <v>1202</v>
      </c>
    </row>
    <row r="42" spans="1:10" x14ac:dyDescent="0.3">
      <c r="B42" s="123" t="s">
        <v>1203</v>
      </c>
    </row>
    <row r="43" spans="1:10" x14ac:dyDescent="0.3">
      <c r="B43" s="32" t="str">
        <f>UPPER(B42)</f>
        <v>MBC IT 컴퓨터 ACADEMY</v>
      </c>
      <c r="D43" s="32" t="s">
        <v>1204</v>
      </c>
      <c r="G43" s="32" t="s">
        <v>1205</v>
      </c>
    </row>
    <row r="44" spans="1:10" x14ac:dyDescent="0.3">
      <c r="B44" s="32" t="str">
        <f>LOWER(B42)</f>
        <v>mbc it 컴퓨터 academy</v>
      </c>
      <c r="D44" s="32" t="s">
        <v>1206</v>
      </c>
      <c r="G44" s="32" t="s">
        <v>1207</v>
      </c>
    </row>
    <row r="45" spans="1:10" x14ac:dyDescent="0.3">
      <c r="B45" s="32" t="str">
        <f>PROPER(B42)</f>
        <v>Mbc It 컴퓨터 Academy</v>
      </c>
      <c r="D45" s="32" t="s">
        <v>1208</v>
      </c>
      <c r="G45" s="32" t="s">
        <v>1209</v>
      </c>
    </row>
    <row r="47" spans="1:10" x14ac:dyDescent="0.3">
      <c r="B47" s="32" t="s">
        <v>1210</v>
      </c>
    </row>
    <row r="48" spans="1:10" x14ac:dyDescent="0.3">
      <c r="B48" s="32">
        <f>LEN(B47)</f>
        <v>18</v>
      </c>
      <c r="D48" s="32" t="s">
        <v>1211</v>
      </c>
      <c r="G48" s="32" t="s">
        <v>1212</v>
      </c>
    </row>
    <row r="49" spans="2:7" x14ac:dyDescent="0.3">
      <c r="B49" s="32" t="str">
        <f>TRIM(B47)</f>
        <v>MBC 아카데미</v>
      </c>
      <c r="D49" s="32" t="s">
        <v>1213</v>
      </c>
      <c r="G49" s="32" t="s">
        <v>1214</v>
      </c>
    </row>
    <row r="50" spans="2:7" x14ac:dyDescent="0.3">
      <c r="B50" s="32">
        <f>LEN(B49)</f>
        <v>8</v>
      </c>
    </row>
    <row r="51" spans="2:7" x14ac:dyDescent="0.3">
      <c r="B51" s="32">
        <f>LEN(TRIM(B47))</f>
        <v>8</v>
      </c>
      <c r="C51" s="32" t="s">
        <v>1215</v>
      </c>
    </row>
    <row r="53" spans="2:7" x14ac:dyDescent="0.3">
      <c r="B53" s="32">
        <f>FIND("a",B42)</f>
        <v>12</v>
      </c>
      <c r="C53" s="32" t="s">
        <v>1216</v>
      </c>
      <c r="E53" s="32" t="s">
        <v>1217</v>
      </c>
    </row>
    <row r="54" spans="2:7" x14ac:dyDescent="0.3">
      <c r="B54" s="32" t="e">
        <f>FIND("w",B42)</f>
        <v>#VALUE!</v>
      </c>
      <c r="C54" s="32" t="s">
        <v>1218</v>
      </c>
    </row>
    <row r="55" spans="2:7" x14ac:dyDescent="0.3">
      <c r="B55" s="32">
        <f>FIND("a",B42,13)</f>
        <v>14</v>
      </c>
      <c r="C55" s="32" t="s">
        <v>1219</v>
      </c>
      <c r="G55" s="32" t="s">
        <v>1220</v>
      </c>
    </row>
    <row r="56" spans="2:7" x14ac:dyDescent="0.3">
      <c r="B56" s="32" t="e">
        <f>FIND("a",B42,15)</f>
        <v>#VALUE!</v>
      </c>
    </row>
    <row r="57" spans="2:7" x14ac:dyDescent="0.3">
      <c r="B57" s="32" t="e">
        <f>FIND("A",B42)</f>
        <v>#VALUE!</v>
      </c>
      <c r="C57" s="32" t="s">
        <v>1221</v>
      </c>
    </row>
    <row r="59" spans="2:7" x14ac:dyDescent="0.3">
      <c r="B59" s="32">
        <f>SEARCH("A",B42)</f>
        <v>12</v>
      </c>
      <c r="C59" s="32" t="s">
        <v>1222</v>
      </c>
      <c r="E59" s="32" t="s">
        <v>1223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 x14ac:dyDescent="0.3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 x14ac:dyDescent="0.3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L60"/>
  <sheetViews>
    <sheetView topLeftCell="A22" zoomScale="130" zoomScaleNormal="130" workbookViewId="0">
      <selection activeCell="K25" sqref="K25"/>
    </sheetView>
  </sheetViews>
  <sheetFormatPr defaultRowHeight="16.5" x14ac:dyDescent="0.3"/>
  <cols>
    <col min="4" max="4" width="11" bestFit="1" customWidth="1"/>
    <col min="6" max="6" width="1.625" customWidth="1"/>
    <col min="9" max="9" width="27.25" customWidth="1"/>
    <col min="10" max="10" width="10.875" bestFit="1" customWidth="1"/>
    <col min="11" max="11" width="15.5" customWidth="1"/>
    <col min="12" max="12" width="41.25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 t="str">
        <f>IF(OR(H3&gt;=80,I3&gt;=80,J3&gt;=80),"합격","불합격")</f>
        <v>불합격</v>
      </c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120" t="str">
        <f t="shared" ref="K4:K11" si="0">IF(OR(H4&gt;=80,I4&gt;=80,J4&gt;=80),"합격","불합격")</f>
        <v>합격</v>
      </c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120" t="str">
        <f t="shared" si="0"/>
        <v>불합격</v>
      </c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120" t="str">
        <f t="shared" si="0"/>
        <v>불합격</v>
      </c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120" t="str">
        <f t="shared" si="0"/>
        <v>합격</v>
      </c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120" t="str">
        <f t="shared" si="0"/>
        <v>합격</v>
      </c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65</v>
      </c>
      <c r="I9" s="2">
        <v>79</v>
      </c>
      <c r="J9" s="2">
        <v>83</v>
      </c>
      <c r="K9" s="120" t="str">
        <f t="shared" si="0"/>
        <v>합격</v>
      </c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120" t="str">
        <f t="shared" si="0"/>
        <v>불합격</v>
      </c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120" t="str">
        <f t="shared" si="0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 t="str">
        <f>IF(AND(OR(B15&gt;=80,C15&gt;=80),D15&gt;=90),"해외근무","국내근무")</f>
        <v>국내근무</v>
      </c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120" t="str">
        <f t="shared" ref="E16:E23" si="1">IF(AND(OR(B16&gt;=80,C16&gt;=80),D16&gt;=90),"해외근무","국내근무")</f>
        <v>국내근무</v>
      </c>
      <c r="F16" s="26"/>
      <c r="G16" s="2" t="s">
        <v>1030</v>
      </c>
      <c r="H16" s="29">
        <v>11500</v>
      </c>
      <c r="I16" s="29">
        <v>193</v>
      </c>
      <c r="J16" s="29">
        <f t="shared" ref="J16:J23" si="2">H16*I16</f>
        <v>2219500</v>
      </c>
      <c r="K16" s="2"/>
    </row>
    <row r="17" spans="1:12" x14ac:dyDescent="0.3">
      <c r="A17" s="2" t="s">
        <v>1031</v>
      </c>
      <c r="B17" s="2">
        <v>93</v>
      </c>
      <c r="C17" s="2">
        <v>75</v>
      </c>
      <c r="D17" s="2">
        <v>91</v>
      </c>
      <c r="E17" s="120" t="str">
        <f t="shared" si="1"/>
        <v>해외근무</v>
      </c>
      <c r="F17" s="26"/>
      <c r="G17" s="2" t="s">
        <v>1032</v>
      </c>
      <c r="H17" s="29">
        <v>8500</v>
      </c>
      <c r="I17" s="29">
        <v>199</v>
      </c>
      <c r="J17" s="29">
        <f t="shared" si="2"/>
        <v>1691500</v>
      </c>
      <c r="K17" s="2"/>
    </row>
    <row r="18" spans="1:12" x14ac:dyDescent="0.3">
      <c r="A18" s="2" t="s">
        <v>1033</v>
      </c>
      <c r="B18" s="2">
        <v>82</v>
      </c>
      <c r="C18" s="2">
        <v>89</v>
      </c>
      <c r="D18" s="2">
        <v>47</v>
      </c>
      <c r="E18" s="120" t="str">
        <f t="shared" si="1"/>
        <v>국내근무</v>
      </c>
      <c r="F18" s="26"/>
      <c r="G18" s="2" t="s">
        <v>1034</v>
      </c>
      <c r="H18" s="29">
        <v>12500</v>
      </c>
      <c r="I18" s="29">
        <v>145</v>
      </c>
      <c r="J18" s="29">
        <f t="shared" si="2"/>
        <v>1812500</v>
      </c>
      <c r="K18" s="2"/>
    </row>
    <row r="19" spans="1:12" x14ac:dyDescent="0.3">
      <c r="A19" s="2" t="s">
        <v>1035</v>
      </c>
      <c r="B19" s="2">
        <v>57</v>
      </c>
      <c r="C19" s="2">
        <v>94</v>
      </c>
      <c r="D19" s="2">
        <v>85</v>
      </c>
      <c r="E19" s="120" t="str">
        <f t="shared" si="1"/>
        <v>국내근무</v>
      </c>
      <c r="F19" s="26"/>
      <c r="G19" s="2" t="s">
        <v>1036</v>
      </c>
      <c r="H19" s="29">
        <v>7500</v>
      </c>
      <c r="I19" s="29">
        <v>195</v>
      </c>
      <c r="J19" s="29">
        <f t="shared" si="2"/>
        <v>1462500</v>
      </c>
      <c r="K19" s="2"/>
    </row>
    <row r="20" spans="1:12" x14ac:dyDescent="0.3">
      <c r="A20" s="2" t="s">
        <v>1037</v>
      </c>
      <c r="B20" s="2">
        <v>69</v>
      </c>
      <c r="C20" s="2">
        <v>88</v>
      </c>
      <c r="D20" s="2">
        <v>77</v>
      </c>
      <c r="E20" s="120" t="str">
        <f t="shared" si="1"/>
        <v>국내근무</v>
      </c>
      <c r="F20" s="26"/>
      <c r="G20" s="2" t="s">
        <v>1038</v>
      </c>
      <c r="H20" s="29">
        <v>10000</v>
      </c>
      <c r="I20" s="29">
        <v>188</v>
      </c>
      <c r="J20" s="29">
        <f t="shared" si="2"/>
        <v>1880000</v>
      </c>
      <c r="K20" s="2"/>
    </row>
    <row r="21" spans="1:12" x14ac:dyDescent="0.3">
      <c r="A21" s="2" t="s">
        <v>1039</v>
      </c>
      <c r="B21" s="2">
        <v>79</v>
      </c>
      <c r="C21" s="2">
        <v>86</v>
      </c>
      <c r="D21" s="2">
        <v>96</v>
      </c>
      <c r="E21" s="120" t="str">
        <f t="shared" si="1"/>
        <v>해외근무</v>
      </c>
      <c r="F21" s="26"/>
      <c r="G21" s="2" t="s">
        <v>1040</v>
      </c>
      <c r="H21" s="29">
        <v>9500</v>
      </c>
      <c r="I21" s="29">
        <v>167</v>
      </c>
      <c r="J21" s="29">
        <f t="shared" si="2"/>
        <v>1586500</v>
      </c>
      <c r="K21" s="2"/>
    </row>
    <row r="22" spans="1:12" x14ac:dyDescent="0.3">
      <c r="A22" s="2" t="s">
        <v>1041</v>
      </c>
      <c r="B22" s="2">
        <v>86</v>
      </c>
      <c r="C22" s="2">
        <v>96</v>
      </c>
      <c r="D22" s="2">
        <v>68</v>
      </c>
      <c r="E22" s="120" t="str">
        <f t="shared" si="1"/>
        <v>국내근무</v>
      </c>
      <c r="F22" s="26"/>
      <c r="G22" s="2" t="s">
        <v>1042</v>
      </c>
      <c r="H22" s="29">
        <v>5500</v>
      </c>
      <c r="I22" s="29">
        <v>155</v>
      </c>
      <c r="J22" s="29">
        <f t="shared" si="2"/>
        <v>852500</v>
      </c>
      <c r="K22" s="2"/>
    </row>
    <row r="23" spans="1:12" x14ac:dyDescent="0.3">
      <c r="A23" s="2" t="s">
        <v>1043</v>
      </c>
      <c r="B23" s="2">
        <v>72</v>
      </c>
      <c r="C23" s="2">
        <v>88</v>
      </c>
      <c r="D23" s="2">
        <v>52</v>
      </c>
      <c r="E23" s="120" t="str">
        <f t="shared" si="1"/>
        <v>국내근무</v>
      </c>
      <c r="F23" s="26"/>
      <c r="G23" s="2" t="s">
        <v>1044</v>
      </c>
      <c r="H23" s="29">
        <v>8000</v>
      </c>
      <c r="I23" s="29">
        <v>168</v>
      </c>
      <c r="J23" s="29">
        <f t="shared" si="2"/>
        <v>1344000</v>
      </c>
      <c r="K23" s="2"/>
    </row>
    <row r="26" spans="1:12" x14ac:dyDescent="0.3">
      <c r="H26" t="str">
        <f>IF(TRUE,"참이지롱","거짓부렁")</f>
        <v>참이지롱</v>
      </c>
      <c r="I26" t="s">
        <v>1224</v>
      </c>
    </row>
    <row r="27" spans="1:12" ht="33" x14ac:dyDescent="0.3">
      <c r="I27" t="s">
        <v>1225</v>
      </c>
      <c r="L27" s="124" t="s">
        <v>1226</v>
      </c>
    </row>
    <row r="28" spans="1:12" x14ac:dyDescent="0.3">
      <c r="G28" t="s">
        <v>1227</v>
      </c>
      <c r="H28">
        <v>39</v>
      </c>
    </row>
    <row r="29" spans="1:12" x14ac:dyDescent="0.3">
      <c r="H29" t="str">
        <f>IF(H28&gt;=80,"합격","불합격")</f>
        <v>불합격</v>
      </c>
      <c r="I29" t="s">
        <v>1228</v>
      </c>
    </row>
    <row r="30" spans="1:12" ht="39" customHeight="1" x14ac:dyDescent="0.3">
      <c r="I30" s="124" t="s">
        <v>1229</v>
      </c>
    </row>
    <row r="31" spans="1:12" x14ac:dyDescent="0.3">
      <c r="H31" t="str">
        <f>IF(H28&gt;=80,"우수",IF(H28&gt;=60,"양호",IF(H28&gt;=40,"정상","미달")))</f>
        <v>미달</v>
      </c>
      <c r="I31" t="s">
        <v>1230</v>
      </c>
    </row>
    <row r="33" spans="8:10" x14ac:dyDescent="0.3">
      <c r="H33" t="b">
        <f>AND(TRUE,TRUE,TRUE)</f>
        <v>1</v>
      </c>
      <c r="I33" t="s">
        <v>1231</v>
      </c>
      <c r="J33" t="s">
        <v>1234</v>
      </c>
    </row>
    <row r="34" spans="8:10" x14ac:dyDescent="0.3">
      <c r="H34" t="b">
        <f>AND(TRUE,FALSE,TRUE)</f>
        <v>0</v>
      </c>
      <c r="I34" t="s">
        <v>1232</v>
      </c>
    </row>
    <row r="35" spans="8:10" x14ac:dyDescent="0.3">
      <c r="H35" t="b">
        <f>AND(FALSE,FALSE,FALSE)</f>
        <v>0</v>
      </c>
      <c r="I35" t="s">
        <v>1233</v>
      </c>
    </row>
    <row r="37" spans="8:10" x14ac:dyDescent="0.3">
      <c r="H37" t="b">
        <f>AND(10,123)</f>
        <v>1</v>
      </c>
      <c r="I37" t="s">
        <v>1235</v>
      </c>
      <c r="J37" t="s">
        <v>1236</v>
      </c>
    </row>
    <row r="38" spans="8:10" x14ac:dyDescent="0.3">
      <c r="H38" t="b">
        <f>AND(10,123,0)</f>
        <v>0</v>
      </c>
    </row>
    <row r="39" spans="8:10" x14ac:dyDescent="0.3">
      <c r="H39" t="b">
        <f>AND(10,123,-1345,-0.123)</f>
        <v>1</v>
      </c>
      <c r="I39" t="s">
        <v>1237</v>
      </c>
    </row>
    <row r="41" spans="8:10" x14ac:dyDescent="0.3">
      <c r="H41" t="b">
        <f>OR(TRUE,TRUE,TRUE)</f>
        <v>1</v>
      </c>
      <c r="I41" t="s">
        <v>1238</v>
      </c>
      <c r="J41" t="s">
        <v>1241</v>
      </c>
    </row>
    <row r="42" spans="8:10" x14ac:dyDescent="0.3">
      <c r="H42" t="b">
        <f>OR(TRUE,TRUE,FALSE)</f>
        <v>1</v>
      </c>
      <c r="I42" t="s">
        <v>1239</v>
      </c>
    </row>
    <row r="43" spans="8:10" x14ac:dyDescent="0.3">
      <c r="H43" t="b">
        <f>OR(FALSE,FALSE,FALSE)</f>
        <v>0</v>
      </c>
      <c r="I43" t="s">
        <v>1240</v>
      </c>
    </row>
    <row r="45" spans="8:10" x14ac:dyDescent="0.3">
      <c r="H45" t="b">
        <f>NOT(TRUE)</f>
        <v>0</v>
      </c>
      <c r="I45" t="s">
        <v>1242</v>
      </c>
      <c r="J45" t="s">
        <v>1244</v>
      </c>
    </row>
    <row r="46" spans="8:10" x14ac:dyDescent="0.3">
      <c r="H46" t="b">
        <f>NOT(FALSE)</f>
        <v>1</v>
      </c>
      <c r="I46" t="s">
        <v>1243</v>
      </c>
    </row>
    <row r="48" spans="8:10" x14ac:dyDescent="0.3">
      <c r="H48">
        <f>10/5</f>
        <v>2</v>
      </c>
      <c r="I48" s="125" t="s">
        <v>1245</v>
      </c>
    </row>
    <row r="49" spans="7:12" x14ac:dyDescent="0.3">
      <c r="H49" t="e">
        <f>10/0</f>
        <v>#DIV/0!</v>
      </c>
      <c r="I49" s="122" t="s">
        <v>1246</v>
      </c>
    </row>
    <row r="50" spans="7:12" x14ac:dyDescent="0.3">
      <c r="H50">
        <f>IFERROR(10/5,"오류")</f>
        <v>2</v>
      </c>
      <c r="J50" t="s">
        <v>1247</v>
      </c>
    </row>
    <row r="51" spans="7:12" x14ac:dyDescent="0.3">
      <c r="H51" t="str">
        <f>IFERROR(10/0,"오류")</f>
        <v>오류</v>
      </c>
    </row>
    <row r="54" spans="7:12" x14ac:dyDescent="0.3">
      <c r="G54" t="s">
        <v>1227</v>
      </c>
      <c r="H54">
        <v>32</v>
      </c>
    </row>
    <row r="55" spans="7:12" x14ac:dyDescent="0.3">
      <c r="H55" t="str" cm="1">
        <f t="array" ref="H55">_xlfn.IFS(H54&gt;=80,"우수",H54&gt;=60,"양호",H54&gt;=40,"정상",H54&lt;40,"미달")</f>
        <v>미달</v>
      </c>
      <c r="I55" t="s">
        <v>1248</v>
      </c>
    </row>
    <row r="56" spans="7:12" x14ac:dyDescent="0.3">
      <c r="I56" t="s">
        <v>1249</v>
      </c>
      <c r="K56" t="s">
        <v>1250</v>
      </c>
    </row>
    <row r="58" spans="7:12" x14ac:dyDescent="0.3">
      <c r="H58">
        <v>20</v>
      </c>
    </row>
    <row r="59" spans="7:12" x14ac:dyDescent="0.3">
      <c r="H59" t="str" cm="1">
        <f t="array" ref="H59">_xlfn.SWITCH(H58,0,"짜장면",10,"돈가스",20,"제육",30,"국밥","김치찌개")</f>
        <v>제육</v>
      </c>
      <c r="I59" t="s">
        <v>1251</v>
      </c>
    </row>
    <row r="60" spans="7:12" x14ac:dyDescent="0.3">
      <c r="I60" t="s">
        <v>1252</v>
      </c>
      <c r="L60" t="s">
        <v>1253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 x14ac:dyDescent="0.3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 x14ac:dyDescent="0.3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 x14ac:dyDescent="0.3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 x14ac:dyDescent="0.3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 x14ac:dyDescent="0.3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 x14ac:dyDescent="0.3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 x14ac:dyDescent="0.3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 x14ac:dyDescent="0.3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 x14ac:dyDescent="0.3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 x14ac:dyDescent="0.3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 x14ac:dyDescent="0.3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 x14ac:dyDescent="0.3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 x14ac:dyDescent="0.3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 x14ac:dyDescent="0.3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 x14ac:dyDescent="0.3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 x14ac:dyDescent="0.3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 x14ac:dyDescent="0.3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 x14ac:dyDescent="0.3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 x14ac:dyDescent="0.3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 x14ac:dyDescent="0.3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 x14ac:dyDescent="0.3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 x14ac:dyDescent="0.3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 x14ac:dyDescent="0.3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 x14ac:dyDescent="0.3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 x14ac:dyDescent="0.3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 x14ac:dyDescent="0.3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 x14ac:dyDescent="0.3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 x14ac:dyDescent="0.3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 x14ac:dyDescent="0.3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 x14ac:dyDescent="0.3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 x14ac:dyDescent="0.3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 x14ac:dyDescent="0.3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 x14ac:dyDescent="0.3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 x14ac:dyDescent="0.3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 x14ac:dyDescent="0.3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 x14ac:dyDescent="0.3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 x14ac:dyDescent="0.3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 x14ac:dyDescent="0.3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 x14ac:dyDescent="0.3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 x14ac:dyDescent="0.3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 x14ac:dyDescent="0.3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 x14ac:dyDescent="0.3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 x14ac:dyDescent="0.3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 x14ac:dyDescent="0.3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 x14ac:dyDescent="0.3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 x14ac:dyDescent="0.3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 x14ac:dyDescent="0.3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 x14ac:dyDescent="0.3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 x14ac:dyDescent="0.3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 x14ac:dyDescent="0.3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 x14ac:dyDescent="0.3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 x14ac:dyDescent="0.3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 x14ac:dyDescent="0.3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 x14ac:dyDescent="0.3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수식</vt:lpstr>
      <vt:lpstr>계산</vt:lpstr>
      <vt:lpstr>계산(결과)</vt:lpstr>
      <vt:lpstr>데이터함수</vt:lpstr>
      <vt:lpstr>데이터베이스</vt:lpstr>
      <vt:lpstr>데이터베이스(결과)</vt:lpstr>
      <vt:lpstr>수학삼각함수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찾기참조함수</vt:lpstr>
      <vt:lpstr>찾기참조1</vt:lpstr>
      <vt:lpstr>찾기참조1(결과)</vt:lpstr>
      <vt:lpstr>찾기참조2</vt:lpstr>
      <vt:lpstr>찾기참조2(결과)</vt:lpstr>
      <vt:lpstr>날짜시간함수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2026-09-08T11:21:48Z</dcterms:modified>
</cp:coreProperties>
</file>