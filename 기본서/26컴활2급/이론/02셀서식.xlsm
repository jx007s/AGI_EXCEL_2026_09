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B9BD386-2DA1-4209-A982-D7DB49C8EB1B}" xr6:coauthVersionLast="47" xr6:coauthVersionMax="47" xr10:uidLastSave="{00000000-0000-0000-0000-000000000000}"/>
  <bookViews>
    <workbookView xWindow="22932" yWindow="-108" windowWidth="23256" windowHeight="12576" tabRatio="923" activeTab="4" xr2:uid="{00000000-000D-0000-FFFF-FFFF00000000}"/>
  </bookViews>
  <sheets>
    <sheet name="기본작업2-1" sheetId="4" r:id="rId1"/>
    <sheet name="기본작업2-1(결과)" sheetId="1" r:id="rId2"/>
    <sheet name="기본작업2-2" sheetId="5" r:id="rId3"/>
    <sheet name="기본작업2-2(결과)" sheetId="2" r:id="rId4"/>
    <sheet name="기본작업2-3" sheetId="7" r:id="rId5"/>
    <sheet name="기본작업2-3(결과)" sheetId="3" r:id="rId6"/>
  </sheets>
  <definedNames>
    <definedName name="배점">'기본작업2-2'!$D$4:$D$9</definedName>
    <definedName name="배점1">'기본작업2-2(결과)'!$D$4:$D$9</definedName>
    <definedName name="제품명">'기본작업2-1'!$C$5:$C$12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2452E4C6-D46D-4C80-8CF9-C37B11670D3C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  <author>User</author>
  </authors>
  <commentList>
    <comment ref="P3" authorId="0" shapeId="0" xr:uid="{EB8E55AE-D107-4454-978A-6EB9AA5067E9}">
      <text>
        <r>
          <rPr>
            <b/>
            <sz val="9"/>
            <color indexed="81"/>
            <rFont val="돋움"/>
            <family val="3"/>
            <charset val="129"/>
          </rPr>
          <t>동요</t>
        </r>
      </text>
    </comment>
    <comment ref="I5" authorId="1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<sst xmlns="http://schemas.openxmlformats.org/spreadsheetml/2006/main" count="291" uniqueCount="161">
  <si>
    <t>영진유통 7월 라면류 매출현황</t>
    <phoneticPr fontId="2" type="noConversion"/>
  </si>
  <si>
    <t>인성인증 항목 및 배점표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</si>
  <si>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</si>
  <si>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</si>
  <si>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</si>
  <si>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</si>
  <si>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</si>
  <si>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</si>
  <si>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</si>
  <si>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</si>
  <si>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</si>
  <si>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</si>
  <si>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</si>
  <si>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</si>
  <si>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</si>
  <si>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</si>
  <si>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</si>
  <si>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</si>
  <si>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</si>
  <si>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</si>
  <si>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</si>
  <si>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</si>
  <si>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</si>
  <si>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</si>
  <si>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</si>
  <si>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</si>
  <si>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</si>
  <si>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</si>
  <si>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</si>
  <si>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</si>
  <si>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</si>
  <si>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</si>
  <si>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</si>
  <si>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</si>
  <si>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</si>
  <si>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</si>
  <si>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</si>
  <si>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</si>
  <si>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</si>
  <si>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</si>
  <si>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</si>
  <si>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</si>
  <si>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</si>
  <si>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</si>
  <si>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</si>
  <si>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</si>
  <si>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</si>
  <si>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</si>
  <si>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</si>
  <si>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</si>
  <si>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</si>
  <si>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</si>
  <si>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</si>
  <si>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</si>
  <si>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</si>
  <si>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</si>
  <si>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</si>
  <si>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</si>
  <si>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</si>
  <si>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</si>
  <si>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</si>
  <si>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</si>
  <si>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</si>
  <si>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</si>
  <si>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250g</t>
    <phoneticPr fontId="2" type="noConversion"/>
  </si>
  <si>
    <t>오리오리육포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</si>
  <si>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</si>
  <si>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</si>
  <si>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</si>
  <si>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</si>
  <si>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</si>
  <si>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</si>
  <si>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</si>
  <si>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</si>
  <si>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</si>
  <si>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</si>
  <si>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</si>
  <si>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</si>
  <si>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</si>
  <si>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</si>
  <si>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</si>
  <si>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</si>
  <si>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</si>
  <si>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</si>
  <si>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</si>
  <si>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</si>
  <si>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</si>
  <si>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</si>
  <si>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</si>
  <si>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</si>
  <si>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</si>
  <si>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</si>
  <si>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</si>
  <si>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</si>
  <si>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</si>
  <si>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</si>
  <si>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</si>
  <si>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</si>
  <si>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</si>
  <si>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</si>
  <si>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</si>
  <si>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</si>
  <si>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</si>
  <si>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</si>
  <si>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</si>
  <si>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</si>
  <si>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</si>
  <si>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</si>
  <si>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</si>
  <si>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</si>
  <si>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1. 글꼴</t>
    <phoneticPr fontId="2" type="noConversion"/>
  </si>
  <si>
    <t>2. 배경색</t>
    <phoneticPr fontId="2" type="noConversion"/>
  </si>
  <si>
    <t>3. 테두리</t>
    <phoneticPr fontId="2" type="noConversion"/>
  </si>
  <si>
    <t>4. 셀서식</t>
    <phoneticPr fontId="2" type="noConversion"/>
  </si>
  <si>
    <t>5. 맞춤</t>
    <phoneticPr fontId="2" type="noConversion"/>
  </si>
  <si>
    <t>6. 메모</t>
    <phoneticPr fontId="2" type="noConversion"/>
  </si>
  <si>
    <t xml:space="preserve">아기상어 </t>
    <phoneticPr fontId="2" type="noConversion"/>
  </si>
  <si>
    <t>엄마상어</t>
    <phoneticPr fontId="2" type="noConversion"/>
  </si>
  <si>
    <t>아빠상어</t>
    <phoneticPr fontId="2" type="noConversion"/>
  </si>
  <si>
    <t>B5,D7,H9</t>
    <phoneticPr fontId="2" type="noConversion"/>
  </si>
  <si>
    <t>-각 셀을 따로 따로 선택</t>
    <phoneticPr fontId="2" type="noConversion"/>
  </si>
  <si>
    <t>[D6:G7]</t>
    <phoneticPr fontId="2" type="noConversion"/>
  </si>
  <si>
    <t>-연속하여(드래그)하여 선택</t>
    <phoneticPr fontId="2" type="noConversion"/>
  </si>
  <si>
    <t>아기상어</t>
    <phoneticPr fontId="2" type="noConversion"/>
  </si>
  <si>
    <t>할머니상어</t>
    <phoneticPr fontId="2" type="noConversion"/>
  </si>
  <si>
    <t>@</t>
    <phoneticPr fontId="2" type="noConversion"/>
  </si>
  <si>
    <t>문자대상</t>
    <phoneticPr fontId="2" type="noConversion"/>
  </si>
  <si>
    <t>숫자-자릿수가 없을 경우 0 표시</t>
    <phoneticPr fontId="2" type="noConversion"/>
  </si>
  <si>
    <t>#</t>
    <phoneticPr fontId="2" type="noConversion"/>
  </si>
  <si>
    <t>숫자-자릿수가 없을 경우 생략</t>
    <phoneticPr fontId="2" type="noConversion"/>
  </si>
  <si>
    <t>,</t>
    <phoneticPr fontId="2" type="noConversion"/>
  </si>
  <si>
    <t>숫자-천단위 구분기호</t>
    <phoneticPr fontId="2" type="noConversion"/>
  </si>
  <si>
    <t>0,000</t>
    <phoneticPr fontId="2" type="noConversion"/>
  </si>
  <si>
    <t>0,000.00000</t>
    <phoneticPr fontId="2" type="noConversion"/>
  </si>
  <si>
    <t>#,###</t>
    <phoneticPr fontId="2" type="noConversion"/>
  </si>
  <si>
    <t>#,##0.00</t>
    <phoneticPr fontId="2" type="noConversion"/>
  </si>
  <si>
    <t>"어제"#,##0.00"원"</t>
    <phoneticPr fontId="2" type="noConversion"/>
  </si>
  <si>
    <t>[빨강]#,##0.00</t>
    <phoneticPr fontId="2" type="noConversion"/>
  </si>
  <si>
    <t>[]</t>
    <phoneticPr fontId="2" type="noConversion"/>
  </si>
  <si>
    <t>색상,글꼴 선정</t>
    <phoneticPr fontId="2" type="noConversion"/>
  </si>
  <si>
    <t>[빨강]#,##0.00;[파랑]-0;"제로"</t>
    <phoneticPr fontId="2" type="noConversion"/>
  </si>
  <si>
    <t>양수일때 ;  음수일때 ; 0일때</t>
    <phoneticPr fontId="2" type="noConversion"/>
  </si>
  <si>
    <t>% : 곱하기 100 한 백분율</t>
    <phoneticPr fontId="2" type="noConversion"/>
  </si>
  <si>
    <t>yyyy-mm-dd</t>
    <phoneticPr fontId="2" type="noConversion"/>
  </si>
  <si>
    <t>yyyy-mm-dd hh:mm:ss</t>
    <phoneticPr fontId="2" type="noConversion"/>
  </si>
  <si>
    <t>y : 년도</t>
    <phoneticPr fontId="2" type="noConversion"/>
  </si>
  <si>
    <t>m : 월(분)</t>
    <phoneticPr fontId="2" type="noConversion"/>
  </si>
  <si>
    <t>d : 일(요일)</t>
    <phoneticPr fontId="2" type="noConversion"/>
  </si>
  <si>
    <t>h: 시간</t>
    <phoneticPr fontId="2" type="noConversion"/>
  </si>
  <si>
    <t>s:초</t>
    <phoneticPr fontId="2" type="noConversion"/>
  </si>
  <si>
    <t>am/pm : 오전/오후</t>
    <phoneticPr fontId="2" type="noConversion"/>
  </si>
  <si>
    <t>yy:2자리</t>
    <phoneticPr fontId="2" type="noConversion"/>
  </si>
  <si>
    <t>yyyy, y : 4자리</t>
    <phoneticPr fontId="2" type="noConversion"/>
  </si>
  <si>
    <t>m(월) :  m:1자리, mm: 2자리, mmm:영어축약, mmmm:영어전체월</t>
    <phoneticPr fontId="2" type="noConversion"/>
  </si>
  <si>
    <t>d:1자리, dd:2자리, ddd:요일축약, dddd:요일전체</t>
    <phoneticPr fontId="2" type="noConversion"/>
  </si>
  <si>
    <t>y-m-d h:m:s</t>
    <phoneticPr fontId="2" type="noConversion"/>
  </si>
  <si>
    <t>yyyy-mmm-ddd hh:mm:ss am/pm</t>
    <phoneticPr fontId="2" type="noConversion"/>
  </si>
  <si>
    <t>yyyy-mm-dd (aaa)</t>
    <phoneticPr fontId="2" type="noConversion"/>
  </si>
  <si>
    <t>yyyy-mm-dd (aaaa)</t>
    <phoneticPr fontId="2" type="noConversion"/>
  </si>
  <si>
    <t>a: 한글 요일</t>
    <phoneticPr fontId="2" type="noConversion"/>
  </si>
  <si>
    <t>aaa:축약형,  aaa:요일전체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</si>
</sst>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0_);[Red]\(0\)"/>
    <numFmt numFmtId="183" formatCode="_-* #,##0.00000_-;\-* #,##0.00000_-;_-* &quot;-&quot;_-;_-@_-"/>
    <numFmt numFmtId="184" formatCode="0,000.00&quot;원&quot;"/>
    <numFmt numFmtId="185" formatCode="@&quot;뚜루루뚜루&quot;"/>
    <numFmt numFmtId="186" formatCode="#,000"/>
    <numFmt numFmtId="187" formatCode="0,000.00000"/>
    <numFmt numFmtId="188" formatCode="#,###"/>
    <numFmt numFmtId="189" formatCode="&quot;어제&quot;#,##0.00&quot;원&quot;"/>
    <numFmt numFmtId="190" formatCode="[Red]#,##0.00"/>
    <numFmt numFmtId="191" formatCode="[Red]#,##0.00;[Blue]\-0;&quot;제로&quot;"/>
    <numFmt numFmtId="194" formatCode="yy/mm/dd"/>
    <numFmt numFmtId="197" formatCode="0.000_);[Red]\(0.000\)"/>
    <numFmt numFmtId="199" formatCode="yyyy/mm/dd\ hh:mm:ss"/>
    <numFmt numFmtId="200" formatCode="yy/m/d\ h:m:s"/>
    <numFmt numFmtId="203" formatCode="yyyy/mmm/ddd\ hh:mm:ss\ am/pm"/>
    <numFmt numFmtId="204" formatCode="yyyy/mm/dd\ \(aaa\)"/>
    <numFmt numFmtId="205" formatCode="yyyy/mm/dd\ \(aaaa\)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sz val="24"/>
      <color rgb="FFFF0000"/>
      <name val="HY헤드라인M"/>
      <family val="1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4"/>
        </stop>
        <stop position="1">
          <color rgb="FFFF0000"/>
        </stop>
      </gradientFill>
    </fill>
    <fill>
      <patternFill patternType="lightGray">
        <fgColor theme="9" tint="-0.2499465926084170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medium">
        <color indexed="64"/>
      </bottom>
      <diagonal/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 style="thick">
        <color rgb="FF00B0F0"/>
      </diagonal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 style="thick">
        <color rgb="FF00B0F0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4" borderId="15" xfId="0" applyFont="1" applyFill="1" applyBorder="1" applyAlignment="1">
      <alignment horizontal="justify" vertical="top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3" xfId="0" applyBorder="1">
      <alignment vertical="center"/>
    </xf>
    <xf numFmtId="183" fontId="0" fillId="5" borderId="18" xfId="1" applyNumberFormat="1" applyFont="1" applyFill="1" applyBorder="1">
      <alignment vertical="center"/>
    </xf>
    <xf numFmtId="184" fontId="0" fillId="5" borderId="18" xfId="0" applyNumberFormat="1" applyFill="1" applyBorder="1">
      <alignment vertical="center"/>
    </xf>
    <xf numFmtId="182" fontId="0" fillId="5" borderId="18" xfId="0" applyNumberFormat="1" applyFill="1" applyBorder="1">
      <alignment vertical="center"/>
    </xf>
    <xf numFmtId="0" fontId="0" fillId="5" borderId="18" xfId="0" applyFill="1" applyBorder="1">
      <alignment vertical="center"/>
    </xf>
    <xf numFmtId="0" fontId="0" fillId="5" borderId="21" xfId="0" applyFill="1" applyBorder="1">
      <alignment vertical="center"/>
    </xf>
    <xf numFmtId="0" fontId="0" fillId="6" borderId="18" xfId="0" applyFill="1" applyBorder="1" applyAlignment="1">
      <alignment horizontal="centerContinuous" vertical="center"/>
    </xf>
    <xf numFmtId="0" fontId="0" fillId="6" borderId="19" xfId="0" applyFill="1" applyBorder="1" applyAlignment="1">
      <alignment horizontal="centerContinuous" vertical="center"/>
    </xf>
    <xf numFmtId="180" fontId="0" fillId="6" borderId="18" xfId="0" applyNumberFormat="1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0" borderId="0" xfId="0" quotePrefix="1">
      <alignment vertical="center"/>
    </xf>
    <xf numFmtId="2" fontId="0" fillId="0" borderId="9" xfId="0" applyNumberFormat="1" applyBorder="1">
      <alignment vertical="center"/>
    </xf>
    <xf numFmtId="185" fontId="10" fillId="0" borderId="0" xfId="3" applyNumberFormat="1" applyFont="1" applyFill="1" applyBorder="1" applyAlignment="1">
      <alignment horizontal="left"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7" fontId="0" fillId="0" borderId="0" xfId="0" applyNumberFormat="1">
      <alignment vertical="center"/>
    </xf>
    <xf numFmtId="188" fontId="0" fillId="0" borderId="0" xfId="0" applyNumberFormat="1">
      <alignment vertical="center"/>
    </xf>
    <xf numFmtId="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0" borderId="0" xfId="0" applyNumberFormat="1">
      <alignment vertical="center"/>
    </xf>
    <xf numFmtId="191" fontId="0" fillId="0" borderId="0" xfId="0" applyNumberFormat="1">
      <alignment vertical="center"/>
    </xf>
    <xf numFmtId="9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194" fontId="0" fillId="0" borderId="0" xfId="0" applyNumberFormat="1">
      <alignment vertical="center"/>
    </xf>
    <xf numFmtId="197" fontId="0" fillId="0" borderId="0" xfId="0" applyNumberFormat="1">
      <alignment vertical="center"/>
    </xf>
    <xf numFmtId="199" fontId="0" fillId="0" borderId="0" xfId="0" applyNumberFormat="1">
      <alignment vertical="center"/>
    </xf>
    <xf numFmtId="200" fontId="0" fillId="0" borderId="0" xfId="0" applyNumberFormat="1">
      <alignment vertical="center"/>
    </xf>
    <xf numFmtId="203" fontId="0" fillId="0" borderId="0" xfId="0" applyNumberFormat="1">
      <alignment vertical="center"/>
    </xf>
    <xf numFmtId="204" fontId="0" fillId="0" borderId="0" xfId="0" applyNumberFormat="1">
      <alignment vertical="center"/>
    </xf>
    <xf numFmtId="205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zoomScale="130" zoomScaleNormal="130" workbookViewId="0">
      <selection activeCell="K6" sqref="K6"/>
    </sheetView>
  </sheetViews>
  <sheetFormatPr defaultRowHeight="16.5"/>
  <cols>
    <col min="1" max="1" width="2.625" customWidth="1"/>
    <col min="3" max="3" width="10.375" bestFit="1" customWidth="1"/>
    <col min="9" max="9" width="10.375" bestFit="1" customWidth="1"/>
  </cols>
  <sheetData>
    <row r="1" spans="2:9">
      <c r="B1" t="s">
        <v>0</v>
      </c>
    </row>
    <row r="2" spans="2:9" ht="17.25" thickBot="1"/>
    <row r="3" spans="2:9">
      <c r="B3" s="61" t="s">
        <v>2</v>
      </c>
      <c r="C3" s="62" t="s">
        <v>3</v>
      </c>
      <c r="D3" s="62" t="s">
        <v>4</v>
      </c>
      <c r="E3" s="62"/>
      <c r="F3" s="27" t="s">
        <v>5</v>
      </c>
      <c r="G3" s="62" t="s">
        <v>6</v>
      </c>
      <c r="H3" s="62"/>
      <c r="I3" s="64" t="s">
        <v>7</v>
      </c>
    </row>
    <row r="4" spans="2:9">
      <c r="B4" s="58"/>
      <c r="C4" s="63"/>
      <c r="D4" s="3" t="s">
        <v>8</v>
      </c>
      <c r="E4" s="3" t="s">
        <v>9</v>
      </c>
      <c r="F4" s="3" t="s">
        <v>10</v>
      </c>
      <c r="G4" s="3" t="s">
        <v>11</v>
      </c>
      <c r="H4" s="3" t="s">
        <v>12</v>
      </c>
      <c r="I4" s="65"/>
    </row>
    <row r="5" spans="2:9">
      <c r="B5" s="58" t="s">
        <v>13</v>
      </c>
      <c r="C5" s="28" t="s">
        <v>14</v>
      </c>
      <c r="D5" s="4">
        <v>125</v>
      </c>
      <c r="E5" s="4">
        <v>156</v>
      </c>
      <c r="F5" s="4">
        <v>204</v>
      </c>
      <c r="G5" s="4">
        <v>157</v>
      </c>
      <c r="H5" s="4">
        <v>347</v>
      </c>
      <c r="I5" s="7">
        <f>SUM(D5:H5)</f>
        <v>989</v>
      </c>
    </row>
    <row r="6" spans="2:9">
      <c r="B6" s="58"/>
      <c r="C6" s="28" t="s">
        <v>15</v>
      </c>
      <c r="D6" s="4">
        <v>52</v>
      </c>
      <c r="E6" s="4">
        <v>36</v>
      </c>
      <c r="F6" s="4">
        <v>27</v>
      </c>
      <c r="G6" s="4">
        <v>47</v>
      </c>
      <c r="H6" s="4">
        <v>36</v>
      </c>
      <c r="I6" s="7">
        <f t="shared" ref="I6:I12" si="0">SUM(D6:H6)</f>
        <v>198</v>
      </c>
    </row>
    <row r="7" spans="2:9">
      <c r="B7" s="58" t="s">
        <v>16</v>
      </c>
      <c r="C7" s="28" t="s">
        <v>17</v>
      </c>
      <c r="D7" s="4">
        <v>25</v>
      </c>
      <c r="E7" s="4">
        <v>58</v>
      </c>
      <c r="F7" s="4">
        <v>56</v>
      </c>
      <c r="G7" s="4">
        <v>32</v>
      </c>
      <c r="H7" s="4">
        <v>24</v>
      </c>
      <c r="I7" s="7">
        <f>SUM(D7:H7)</f>
        <v>195</v>
      </c>
    </row>
    <row r="8" spans="2:9">
      <c r="B8" s="58"/>
      <c r="C8" s="28" t="s">
        <v>18</v>
      </c>
      <c r="D8" s="4">
        <v>34</v>
      </c>
      <c r="E8" s="4">
        <v>62</v>
      </c>
      <c r="F8" s="4">
        <v>62</v>
      </c>
      <c r="G8" s="4">
        <v>34</v>
      </c>
      <c r="H8" s="4">
        <v>82</v>
      </c>
      <c r="I8" s="7">
        <f>SUM(D8:H8)</f>
        <v>274</v>
      </c>
    </row>
    <row r="9" spans="2:9">
      <c r="B9" s="58"/>
      <c r="C9" s="28" t="s">
        <v>19</v>
      </c>
      <c r="D9" s="4">
        <v>85</v>
      </c>
      <c r="E9" s="4">
        <v>36</v>
      </c>
      <c r="F9" s="4">
        <v>75</v>
      </c>
      <c r="G9" s="4">
        <v>64</v>
      </c>
      <c r="H9" s="4">
        <v>28</v>
      </c>
      <c r="I9" s="7">
        <f>SUM(D9:H9)</f>
        <v>288</v>
      </c>
    </row>
    <row r="10" spans="2:9">
      <c r="B10" s="58" t="s">
        <v>20</v>
      </c>
      <c r="C10" s="28" t="s">
        <v>21</v>
      </c>
      <c r="D10" s="4">
        <v>68</v>
      </c>
      <c r="E10" s="4">
        <v>92</v>
      </c>
      <c r="F10" s="4">
        <v>51</v>
      </c>
      <c r="G10" s="4">
        <v>73</v>
      </c>
      <c r="H10" s="4">
        <v>54</v>
      </c>
      <c r="I10" s="7">
        <f t="shared" si="0"/>
        <v>338</v>
      </c>
    </row>
    <row r="11" spans="2:9">
      <c r="B11" s="58"/>
      <c r="C11" s="28" t="s">
        <v>22</v>
      </c>
      <c r="D11" s="4">
        <v>31</v>
      </c>
      <c r="E11" s="4">
        <v>30</v>
      </c>
      <c r="F11" s="4">
        <v>42</v>
      </c>
      <c r="G11" s="4">
        <v>17</v>
      </c>
      <c r="H11" s="4">
        <v>25</v>
      </c>
      <c r="I11" s="7">
        <f t="shared" si="0"/>
        <v>145</v>
      </c>
    </row>
    <row r="12" spans="2:9">
      <c r="B12" s="58"/>
      <c r="C12" s="28" t="s">
        <v>23</v>
      </c>
      <c r="D12" s="4">
        <v>106</v>
      </c>
      <c r="E12" s="4">
        <v>88</v>
      </c>
      <c r="F12" s="4">
        <v>124</v>
      </c>
      <c r="G12" s="4">
        <v>64</v>
      </c>
      <c r="H12" s="4">
        <v>72</v>
      </c>
      <c r="I12" s="7">
        <f t="shared" si="0"/>
        <v>454</v>
      </c>
    </row>
    <row r="13" spans="2:9">
      <c r="B13" s="59" t="s">
        <v>24</v>
      </c>
      <c r="C13" s="60"/>
      <c r="D13" s="5">
        <f t="shared" ref="D13:H13" si="1">SUM(D5:D12)</f>
        <v>526</v>
      </c>
      <c r="E13" s="5">
        <f t="shared" si="1"/>
        <v>558</v>
      </c>
      <c r="F13" s="5">
        <f t="shared" si="1"/>
        <v>641</v>
      </c>
      <c r="G13" s="5">
        <f t="shared" si="1"/>
        <v>488</v>
      </c>
      <c r="H13" s="5">
        <f t="shared" si="1"/>
        <v>668</v>
      </c>
      <c r="I13" s="9"/>
    </row>
    <row r="14" spans="2:9" ht="17.25" thickBot="1">
      <c r="B14" s="56" t="s">
        <v>25</v>
      </c>
      <c r="C14" s="57"/>
      <c r="D14" s="52">
        <f>AVERAGE(D5:D12)</f>
        <v>65.75</v>
      </c>
      <c r="E14" s="52">
        <f t="shared" ref="E14:H14" si="2">AVERAGE(E5:E12)</f>
        <v>69.75</v>
      </c>
      <c r="F14" s="52">
        <f t="shared" si="2"/>
        <v>80.125</v>
      </c>
      <c r="G14" s="52">
        <f t="shared" si="2"/>
        <v>61</v>
      </c>
      <c r="H14" s="52">
        <f t="shared" si="2"/>
        <v>83.5</v>
      </c>
      <c r="I14" s="10"/>
    </row>
  </sheetData>
  <mergeCells count="10">
    <mergeCell ref="B3:B4"/>
    <mergeCell ref="C3:C4"/>
    <mergeCell ref="D3:E3"/>
    <mergeCell ref="G3:H3"/>
    <mergeCell ref="I3:I4"/>
    <mergeCell ref="B14:C14"/>
    <mergeCell ref="B5:B6"/>
    <mergeCell ref="B7:B9"/>
    <mergeCell ref="B10:B12"/>
    <mergeCell ref="B13:C13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14"/>
  <sheetViews>
    <sheetView topLeftCell="B1" workbookViewId="0">
      <selection activeCell="L14" sqref="L14"/>
    </sheetView>
  </sheetViews>
  <sheetFormatPr defaultRowHeight="16.5"/>
  <cols>
    <col min="1" max="1" width="2.625" customWidth="1"/>
    <col min="3" max="3" width="10.375" bestFit="1" customWidth="1"/>
    <col min="9" max="9" width="10.375" bestFit="1" customWidth="1"/>
    <col min="14" max="14" width="27.625" customWidth="1"/>
    <col min="17" max="17" width="5.25" customWidth="1"/>
  </cols>
  <sheetData>
    <row r="1" spans="2:17">
      <c r="B1" t="s">
        <v>0</v>
      </c>
    </row>
    <row r="2" spans="2:17" ht="17.25" thickBot="1">
      <c r="L2" t="s">
        <v>110</v>
      </c>
    </row>
    <row r="3" spans="2:17" ht="101.25" customHeight="1" thickBot="1">
      <c r="B3" s="61" t="s">
        <v>2</v>
      </c>
      <c r="C3" s="62" t="s">
        <v>3</v>
      </c>
      <c r="D3" s="62" t="s">
        <v>4</v>
      </c>
      <c r="E3" s="62"/>
      <c r="F3" s="6" t="s">
        <v>5</v>
      </c>
      <c r="G3" s="62" t="s">
        <v>6</v>
      </c>
      <c r="H3" s="62"/>
      <c r="I3" s="64" t="s">
        <v>7</v>
      </c>
      <c r="L3" s="29" t="s">
        <v>111</v>
      </c>
      <c r="M3" s="30"/>
      <c r="N3" s="31" t="s">
        <v>116</v>
      </c>
      <c r="O3" s="30"/>
      <c r="P3" s="30"/>
      <c r="Q3" s="32"/>
    </row>
    <row r="4" spans="2:17" ht="18" thickTop="1" thickBot="1">
      <c r="B4" s="58"/>
      <c r="C4" s="63"/>
      <c r="D4" s="3" t="s">
        <v>8</v>
      </c>
      <c r="E4" s="3" t="s">
        <v>9</v>
      </c>
      <c r="F4" s="3" t="s">
        <v>10</v>
      </c>
      <c r="G4" s="3" t="s">
        <v>11</v>
      </c>
      <c r="H4" s="3" t="s">
        <v>12</v>
      </c>
      <c r="I4" s="65"/>
      <c r="L4" s="33" t="s">
        <v>112</v>
      </c>
      <c r="M4" s="34"/>
      <c r="N4" s="46" t="s">
        <v>117</v>
      </c>
      <c r="O4" s="46"/>
      <c r="P4" s="46"/>
      <c r="Q4" s="47"/>
    </row>
    <row r="5" spans="2:17" ht="18" thickTop="1" thickBot="1">
      <c r="B5" s="58" t="s">
        <v>13</v>
      </c>
      <c r="C5" s="2" t="s">
        <v>14</v>
      </c>
      <c r="D5" s="4">
        <v>125</v>
      </c>
      <c r="E5" s="4">
        <v>156</v>
      </c>
      <c r="F5" s="4">
        <v>204</v>
      </c>
      <c r="G5" s="4">
        <v>157</v>
      </c>
      <c r="H5" s="4">
        <v>347</v>
      </c>
      <c r="I5" s="7">
        <f>SUM(D5:H5)</f>
        <v>989</v>
      </c>
      <c r="L5" s="33" t="s">
        <v>113</v>
      </c>
      <c r="M5" s="34"/>
      <c r="N5" s="66" t="s">
        <v>117</v>
      </c>
      <c r="O5" s="66"/>
      <c r="P5" s="66"/>
      <c r="Q5" s="67"/>
    </row>
    <row r="6" spans="2:17" ht="18" thickTop="1" thickBot="1">
      <c r="B6" s="58"/>
      <c r="C6" s="2" t="s">
        <v>15</v>
      </c>
      <c r="D6" s="4">
        <v>52</v>
      </c>
      <c r="E6" s="4">
        <v>36</v>
      </c>
      <c r="F6" s="4">
        <v>27</v>
      </c>
      <c r="G6" s="4">
        <v>47</v>
      </c>
      <c r="H6" s="4">
        <v>36</v>
      </c>
      <c r="I6" s="7">
        <f t="shared" ref="I6:I12" si="0">SUM(D6:H6)</f>
        <v>198</v>
      </c>
      <c r="L6" s="33" t="s">
        <v>114</v>
      </c>
      <c r="M6" s="34"/>
      <c r="N6" s="48">
        <v>123456.12300000001</v>
      </c>
      <c r="O6" s="49"/>
      <c r="P6" s="49"/>
      <c r="Q6" s="50"/>
    </row>
    <row r="7" spans="2:17" ht="18" thickTop="1" thickBot="1">
      <c r="B7" s="58" t="s">
        <v>16</v>
      </c>
      <c r="C7" s="2" t="s">
        <v>17</v>
      </c>
      <c r="D7" s="4">
        <v>25</v>
      </c>
      <c r="E7" s="4">
        <v>58</v>
      </c>
      <c r="F7" s="4">
        <v>56</v>
      </c>
      <c r="G7" s="4">
        <v>32</v>
      </c>
      <c r="H7" s="4">
        <v>24</v>
      </c>
      <c r="I7" s="7">
        <f>SUM(D7:H7)</f>
        <v>195</v>
      </c>
      <c r="L7" s="33" t="s">
        <v>115</v>
      </c>
      <c r="M7" s="34"/>
      <c r="N7" s="41">
        <v>123456.12300000001</v>
      </c>
      <c r="O7" s="34"/>
      <c r="P7" s="34"/>
      <c r="Q7" s="35"/>
    </row>
    <row r="8" spans="2:17" ht="18" thickTop="1" thickBot="1">
      <c r="B8" s="58"/>
      <c r="C8" s="2" t="s">
        <v>18</v>
      </c>
      <c r="D8" s="4">
        <v>34</v>
      </c>
      <c r="E8" s="4">
        <v>62</v>
      </c>
      <c r="F8" s="4">
        <v>62</v>
      </c>
      <c r="G8" s="4">
        <v>34</v>
      </c>
      <c r="H8" s="4">
        <v>82</v>
      </c>
      <c r="I8" s="7">
        <f>SUM(D8:H8)</f>
        <v>274</v>
      </c>
      <c r="L8" s="33"/>
      <c r="M8" s="34"/>
      <c r="N8" s="42">
        <v>123456.12300000001</v>
      </c>
      <c r="O8" s="34"/>
      <c r="P8" s="39"/>
      <c r="Q8" s="35"/>
    </row>
    <row r="9" spans="2:17" ht="18" thickTop="1" thickBot="1">
      <c r="B9" s="58"/>
      <c r="C9" s="2" t="s">
        <v>19</v>
      </c>
      <c r="D9" s="4">
        <v>85</v>
      </c>
      <c r="E9" s="4">
        <v>36</v>
      </c>
      <c r="F9" s="4">
        <v>75</v>
      </c>
      <c r="G9" s="4">
        <v>64</v>
      </c>
      <c r="H9" s="4">
        <v>28</v>
      </c>
      <c r="I9" s="7">
        <f>SUM(D9:H9)</f>
        <v>288</v>
      </c>
      <c r="L9" s="33"/>
      <c r="M9" s="34"/>
      <c r="N9" s="43">
        <v>-123456.12300000001</v>
      </c>
      <c r="O9" s="34"/>
      <c r="P9" s="39"/>
      <c r="Q9" s="35"/>
    </row>
    <row r="10" spans="2:17" ht="18" thickTop="1" thickBot="1">
      <c r="B10" s="58" t="s">
        <v>20</v>
      </c>
      <c r="C10" s="2" t="s">
        <v>21</v>
      </c>
      <c r="D10" s="4">
        <v>68</v>
      </c>
      <c r="E10" s="4">
        <v>92</v>
      </c>
      <c r="F10" s="4">
        <v>51</v>
      </c>
      <c r="G10" s="4">
        <v>73</v>
      </c>
      <c r="H10" s="4">
        <v>54</v>
      </c>
      <c r="I10" s="7">
        <f t="shared" si="0"/>
        <v>338</v>
      </c>
      <c r="L10" s="33"/>
      <c r="M10" s="34"/>
      <c r="N10" s="44">
        <v>-123456.12300000001</v>
      </c>
      <c r="O10" s="34"/>
      <c r="P10" s="39"/>
      <c r="Q10" s="35"/>
    </row>
    <row r="11" spans="2:17" ht="18" thickTop="1" thickBot="1">
      <c r="B11" s="58"/>
      <c r="C11" s="2" t="s">
        <v>22</v>
      </c>
      <c r="D11" s="4">
        <v>31</v>
      </c>
      <c r="E11" s="4">
        <v>30</v>
      </c>
      <c r="F11" s="4">
        <v>42</v>
      </c>
      <c r="G11" s="4">
        <v>17</v>
      </c>
      <c r="H11" s="4">
        <v>25</v>
      </c>
      <c r="I11" s="7">
        <f t="shared" si="0"/>
        <v>145</v>
      </c>
      <c r="L11" s="36"/>
      <c r="M11" s="37"/>
      <c r="N11" s="45">
        <v>-123456.12300000001</v>
      </c>
      <c r="O11" s="37"/>
      <c r="P11" s="40"/>
      <c r="Q11" s="38"/>
    </row>
    <row r="12" spans="2:17">
      <c r="B12" s="58"/>
      <c r="C12" s="2" t="s">
        <v>23</v>
      </c>
      <c r="D12" s="4">
        <v>106</v>
      </c>
      <c r="E12" s="4">
        <v>88</v>
      </c>
      <c r="F12" s="4">
        <v>124</v>
      </c>
      <c r="G12" s="4">
        <v>64</v>
      </c>
      <c r="H12" s="4">
        <v>72</v>
      </c>
      <c r="I12" s="7">
        <f t="shared" si="0"/>
        <v>454</v>
      </c>
    </row>
    <row r="13" spans="2:17">
      <c r="B13" s="59" t="s">
        <v>24</v>
      </c>
      <c r="C13" s="60"/>
      <c r="D13" s="5">
        <f t="shared" ref="D13:H13" si="1">SUM(D5:D12)</f>
        <v>526</v>
      </c>
      <c r="E13" s="5">
        <f t="shared" si="1"/>
        <v>558</v>
      </c>
      <c r="F13" s="5">
        <f t="shared" si="1"/>
        <v>641</v>
      </c>
      <c r="G13" s="5">
        <f t="shared" si="1"/>
        <v>488</v>
      </c>
      <c r="H13" s="5">
        <f t="shared" si="1"/>
        <v>668</v>
      </c>
      <c r="I13" s="9"/>
      <c r="L13" t="s">
        <v>119</v>
      </c>
      <c r="M13" s="51" t="s">
        <v>120</v>
      </c>
    </row>
    <row r="14" spans="2:17" ht="17.25" thickBot="1">
      <c r="B14" s="56" t="s">
        <v>25</v>
      </c>
      <c r="C14" s="57"/>
      <c r="D14" s="8">
        <f>AVERAGE(D5:D12)</f>
        <v>65.75</v>
      </c>
      <c r="E14" s="8">
        <f t="shared" ref="E14:H14" si="2">AVERAGE(E5:E12)</f>
        <v>69.75</v>
      </c>
      <c r="F14" s="8">
        <f t="shared" si="2"/>
        <v>80.125</v>
      </c>
      <c r="G14" s="8">
        <f t="shared" si="2"/>
        <v>61</v>
      </c>
      <c r="H14" s="8">
        <f t="shared" si="2"/>
        <v>83.5</v>
      </c>
      <c r="I14" s="10"/>
      <c r="L14" t="s">
        <v>121</v>
      </c>
      <c r="M14" s="51" t="s">
        <v>122</v>
      </c>
    </row>
  </sheetData>
  <mergeCells count="11">
    <mergeCell ref="B14:C14"/>
    <mergeCell ref="B13:C13"/>
    <mergeCell ref="B10:B12"/>
    <mergeCell ref="B7:B9"/>
    <mergeCell ref="B5:B6"/>
    <mergeCell ref="N5:Q5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99"/>
  <sheetViews>
    <sheetView topLeftCell="H85" zoomScale="130" zoomScaleNormal="130" workbookViewId="0">
      <selection activeCell="N87" sqref="N87"/>
    </sheetView>
  </sheetViews>
  <sheetFormatPr defaultRowHeight="16.5"/>
  <cols>
    <col min="3" max="3" width="13.25" customWidth="1"/>
    <col min="9" max="9" width="26" customWidth="1"/>
    <col min="11" max="11" width="28.125" bestFit="1" customWidth="1"/>
  </cols>
  <sheetData>
    <row r="1" spans="1:12" ht="20.25">
      <c r="A1" s="68" t="s">
        <v>1</v>
      </c>
      <c r="B1" s="68"/>
      <c r="C1" s="68"/>
      <c r="D1" s="68"/>
      <c r="E1" s="68"/>
      <c r="F1" s="68"/>
    </row>
    <row r="2" spans="1:12" ht="17.25" thickBot="1">
      <c r="K2" t="s">
        <v>125</v>
      </c>
      <c r="L2" t="s">
        <v>126</v>
      </c>
    </row>
    <row r="3" spans="1:12">
      <c r="A3" s="16" t="s">
        <v>26</v>
      </c>
      <c r="B3" s="17" t="s">
        <v>27</v>
      </c>
      <c r="C3" s="17" t="s">
        <v>28</v>
      </c>
      <c r="D3" s="17" t="s">
        <v>29</v>
      </c>
      <c r="E3" s="17" t="s">
        <v>30</v>
      </c>
      <c r="F3" s="18" t="s">
        <v>31</v>
      </c>
      <c r="I3" s="53" t="s">
        <v>123</v>
      </c>
      <c r="K3">
        <v>0</v>
      </c>
      <c r="L3" t="s">
        <v>127</v>
      </c>
    </row>
    <row r="4" spans="1:12">
      <c r="A4" s="69" t="s">
        <v>32</v>
      </c>
      <c r="B4" s="71" t="s">
        <v>33</v>
      </c>
      <c r="C4" s="11" t="s">
        <v>34</v>
      </c>
      <c r="D4" s="12">
        <v>45</v>
      </c>
      <c r="E4" s="13">
        <v>2</v>
      </c>
      <c r="F4" s="72">
        <v>90</v>
      </c>
      <c r="I4" s="54" t="s">
        <v>117</v>
      </c>
      <c r="K4" t="s">
        <v>128</v>
      </c>
      <c r="L4" t="s">
        <v>129</v>
      </c>
    </row>
    <row r="5" spans="1:12">
      <c r="A5" s="69"/>
      <c r="B5" s="71"/>
      <c r="C5" s="11" t="s">
        <v>35</v>
      </c>
      <c r="D5" s="14">
        <v>40</v>
      </c>
      <c r="E5" s="13">
        <v>2</v>
      </c>
      <c r="F5" s="72"/>
      <c r="I5" s="54" t="s">
        <v>118</v>
      </c>
      <c r="K5" t="s">
        <v>130</v>
      </c>
      <c r="L5" t="s">
        <v>131</v>
      </c>
    </row>
    <row r="6" spans="1:12">
      <c r="A6" s="69"/>
      <c r="B6" s="71"/>
      <c r="C6" s="11" t="s">
        <v>36</v>
      </c>
      <c r="D6" s="14">
        <v>40</v>
      </c>
      <c r="E6" s="13">
        <v>2</v>
      </c>
      <c r="F6" s="72"/>
      <c r="I6" s="54" t="s">
        <v>124</v>
      </c>
      <c r="K6" t="s">
        <v>138</v>
      </c>
      <c r="L6" t="s">
        <v>139</v>
      </c>
    </row>
    <row r="7" spans="1:12">
      <c r="A7" s="69" t="s">
        <v>37</v>
      </c>
      <c r="B7" s="14" t="s">
        <v>38</v>
      </c>
      <c r="C7" s="15" t="s">
        <v>90</v>
      </c>
      <c r="D7" s="14">
        <v>3</v>
      </c>
      <c r="E7" s="13">
        <v>10</v>
      </c>
      <c r="F7" s="72">
        <v>30</v>
      </c>
      <c r="I7" s="55">
        <v>123456.789</v>
      </c>
      <c r="K7" s="76" t="s">
        <v>132</v>
      </c>
    </row>
    <row r="8" spans="1:12">
      <c r="A8" s="69"/>
      <c r="B8" s="14" t="s">
        <v>39</v>
      </c>
      <c r="C8" s="12" t="s">
        <v>40</v>
      </c>
      <c r="D8" s="14">
        <v>10</v>
      </c>
      <c r="E8" s="13">
        <v>5</v>
      </c>
      <c r="F8" s="72"/>
      <c r="I8" s="55">
        <v>-123456.789</v>
      </c>
      <c r="K8" s="76"/>
    </row>
    <row r="9" spans="1:12" ht="17.25" thickBot="1">
      <c r="A9" s="70"/>
      <c r="B9" s="19" t="s">
        <v>41</v>
      </c>
      <c r="C9" s="20" t="s">
        <v>42</v>
      </c>
      <c r="D9" s="19">
        <v>2</v>
      </c>
      <c r="E9" s="21">
        <v>35</v>
      </c>
      <c r="F9" s="73"/>
      <c r="I9" s="55">
        <v>123456.43210000001</v>
      </c>
      <c r="K9" s="76"/>
    </row>
    <row r="10" spans="1:12">
      <c r="I10" s="55">
        <v>-123456.43210000001</v>
      </c>
      <c r="K10" s="76"/>
    </row>
    <row r="11" spans="1:12">
      <c r="I11" s="55">
        <v>0.1234</v>
      </c>
      <c r="K11" s="76"/>
    </row>
    <row r="12" spans="1:12">
      <c r="I12" s="55">
        <v>-0.1234</v>
      </c>
      <c r="K12" s="76"/>
    </row>
    <row r="13" spans="1:12">
      <c r="I13" s="55">
        <v>0.78900000000000003</v>
      </c>
      <c r="K13" s="76"/>
    </row>
    <row r="14" spans="1:12">
      <c r="I14" s="55">
        <v>-0.78900000000000003</v>
      </c>
      <c r="K14" s="76"/>
    </row>
    <row r="15" spans="1:12">
      <c r="I15" s="77">
        <v>123456.789</v>
      </c>
      <c r="K15" s="76" t="s">
        <v>133</v>
      </c>
    </row>
    <row r="16" spans="1:12">
      <c r="I16" s="77">
        <v>-123456.789</v>
      </c>
      <c r="K16" s="76"/>
    </row>
    <row r="17" spans="9:11">
      <c r="I17" s="77">
        <v>123456.43210000001</v>
      </c>
      <c r="K17" s="76"/>
    </row>
    <row r="18" spans="9:11">
      <c r="I18" s="77">
        <v>-123456.43210000001</v>
      </c>
      <c r="K18" s="76"/>
    </row>
    <row r="19" spans="9:11">
      <c r="I19" s="77">
        <v>0.1234</v>
      </c>
      <c r="K19" s="76"/>
    </row>
    <row r="20" spans="9:11">
      <c r="I20" s="77">
        <v>-0.1234</v>
      </c>
      <c r="K20" s="76"/>
    </row>
    <row r="21" spans="9:11">
      <c r="I21" s="77">
        <v>0.78900000000000003</v>
      </c>
      <c r="K21" s="76"/>
    </row>
    <row r="22" spans="9:11">
      <c r="I22" s="77">
        <v>-0.78900000000000003</v>
      </c>
      <c r="K22" s="76"/>
    </row>
    <row r="23" spans="9:11">
      <c r="I23" s="78">
        <v>123456.789</v>
      </c>
      <c r="K23" s="76" t="s">
        <v>134</v>
      </c>
    </row>
    <row r="24" spans="9:11">
      <c r="I24" s="78">
        <v>-123456.789</v>
      </c>
      <c r="K24" s="76"/>
    </row>
    <row r="25" spans="9:11">
      <c r="I25" s="78">
        <v>123456.43210000001</v>
      </c>
      <c r="K25" s="76"/>
    </row>
    <row r="26" spans="9:11">
      <c r="I26" s="78">
        <v>-123456.43210000001</v>
      </c>
      <c r="K26" s="76"/>
    </row>
    <row r="27" spans="9:11">
      <c r="I27" s="78">
        <v>0.1234</v>
      </c>
      <c r="K27" s="76"/>
    </row>
    <row r="28" spans="9:11">
      <c r="I28" s="78">
        <v>-0.1234</v>
      </c>
      <c r="K28" s="76"/>
    </row>
    <row r="29" spans="9:11">
      <c r="I29" s="78">
        <v>0.78900000000000003</v>
      </c>
      <c r="K29" s="76"/>
    </row>
    <row r="30" spans="9:11">
      <c r="I30" s="78">
        <v>-0.78900000000000003</v>
      </c>
      <c r="K30" s="76"/>
    </row>
    <row r="31" spans="9:11">
      <c r="I31" s="79">
        <v>123456.789</v>
      </c>
      <c r="K31" s="76" t="s">
        <v>135</v>
      </c>
    </row>
    <row r="32" spans="9:11">
      <c r="I32" s="79">
        <v>-123456.789</v>
      </c>
      <c r="K32" s="76"/>
    </row>
    <row r="33" spans="9:11">
      <c r="I33" s="79">
        <v>123456.43210000001</v>
      </c>
      <c r="K33" s="76"/>
    </row>
    <row r="34" spans="9:11">
      <c r="I34" s="79">
        <v>-123456.43210000001</v>
      </c>
      <c r="K34" s="76"/>
    </row>
    <row r="35" spans="9:11">
      <c r="I35" s="79">
        <v>0.1234</v>
      </c>
      <c r="K35" s="76"/>
    </row>
    <row r="36" spans="9:11">
      <c r="I36" s="79">
        <v>-0.1234</v>
      </c>
      <c r="K36" s="76"/>
    </row>
    <row r="37" spans="9:11">
      <c r="I37" s="79">
        <v>0.78900000000000003</v>
      </c>
      <c r="K37" s="76"/>
    </row>
    <row r="38" spans="9:11">
      <c r="I38" s="79">
        <v>-0.78900000000000003</v>
      </c>
      <c r="K38" s="76"/>
    </row>
    <row r="39" spans="9:11">
      <c r="I39" s="80">
        <v>123456.789</v>
      </c>
      <c r="K39" s="76" t="s">
        <v>136</v>
      </c>
    </row>
    <row r="40" spans="9:11">
      <c r="I40" s="80">
        <v>-123456.789</v>
      </c>
      <c r="K40" s="76"/>
    </row>
    <row r="41" spans="9:11">
      <c r="I41" s="80">
        <v>123456.43210000001</v>
      </c>
      <c r="K41" s="76"/>
    </row>
    <row r="42" spans="9:11">
      <c r="I42" s="80">
        <v>-123456.43210000001</v>
      </c>
      <c r="K42" s="76"/>
    </row>
    <row r="43" spans="9:11">
      <c r="I43" s="80">
        <v>0.1234</v>
      </c>
      <c r="K43" s="76"/>
    </row>
    <row r="44" spans="9:11">
      <c r="I44" s="80">
        <v>-0.1234</v>
      </c>
      <c r="K44" s="76"/>
    </row>
    <row r="45" spans="9:11">
      <c r="I45" s="80">
        <v>0.78900000000000003</v>
      </c>
      <c r="K45" s="76"/>
    </row>
    <row r="46" spans="9:11">
      <c r="I46" s="80">
        <v>-0.78900000000000003</v>
      </c>
      <c r="K46" s="76"/>
    </row>
    <row r="47" spans="9:11">
      <c r="I47" s="81">
        <v>123456.789</v>
      </c>
      <c r="K47" s="76" t="s">
        <v>137</v>
      </c>
    </row>
    <row r="48" spans="9:11">
      <c r="I48" s="81">
        <v>-123456.789</v>
      </c>
      <c r="K48" s="76"/>
    </row>
    <row r="49" spans="9:12">
      <c r="I49" s="81">
        <v>123456.43210000001</v>
      </c>
      <c r="K49" s="76"/>
    </row>
    <row r="50" spans="9:12">
      <c r="I50" s="81">
        <v>-123456.43210000001</v>
      </c>
      <c r="K50" s="76"/>
    </row>
    <row r="51" spans="9:12">
      <c r="I51" s="81">
        <v>0.1234</v>
      </c>
      <c r="K51" s="76"/>
    </row>
    <row r="52" spans="9:12">
      <c r="I52" s="81">
        <v>-0.1234</v>
      </c>
      <c r="K52" s="76"/>
    </row>
    <row r="53" spans="9:12">
      <c r="I53" s="81">
        <v>0.78900000000000003</v>
      </c>
      <c r="K53" s="76"/>
    </row>
    <row r="54" spans="9:12">
      <c r="I54" s="81">
        <v>-0.78900000000000003</v>
      </c>
      <c r="K54" s="76"/>
    </row>
    <row r="55" spans="9:12">
      <c r="I55" s="82">
        <v>123456.789</v>
      </c>
      <c r="K55" s="76" t="s">
        <v>140</v>
      </c>
    </row>
    <row r="56" spans="9:12">
      <c r="I56" s="82">
        <v>-123456.789</v>
      </c>
      <c r="K56" s="76"/>
    </row>
    <row r="57" spans="9:12">
      <c r="I57" s="82">
        <v>123456.43210000001</v>
      </c>
      <c r="K57" s="76"/>
    </row>
    <row r="58" spans="9:12">
      <c r="I58" s="82">
        <v>-123456.43210000001</v>
      </c>
      <c r="K58" s="76"/>
    </row>
    <row r="59" spans="9:12">
      <c r="I59" s="82">
        <v>0.1234</v>
      </c>
      <c r="K59" s="76"/>
      <c r="L59" t="s">
        <v>141</v>
      </c>
    </row>
    <row r="60" spans="9:12">
      <c r="I60" s="82">
        <v>-0.1234</v>
      </c>
      <c r="K60" s="76"/>
    </row>
    <row r="61" spans="9:12">
      <c r="I61" s="82">
        <v>0.78900000000000003</v>
      </c>
      <c r="K61" s="76"/>
    </row>
    <row r="62" spans="9:12">
      <c r="I62" s="82">
        <v>-0.78900000000000003</v>
      </c>
      <c r="K62" s="76"/>
    </row>
    <row r="63" spans="9:12">
      <c r="I63" s="82">
        <v>0</v>
      </c>
      <c r="K63" s="76"/>
    </row>
    <row r="64" spans="9:12">
      <c r="I64" s="83">
        <v>123456.789</v>
      </c>
      <c r="K64" s="84">
        <v>0</v>
      </c>
    </row>
    <row r="65" spans="9:15">
      <c r="I65" s="83">
        <v>-123456.789</v>
      </c>
      <c r="K65" s="76"/>
    </row>
    <row r="66" spans="9:15">
      <c r="I66" s="83">
        <v>123456.43210000001</v>
      </c>
      <c r="K66" s="76"/>
    </row>
    <row r="67" spans="9:15">
      <c r="I67" s="83">
        <v>-123456.43210000001</v>
      </c>
      <c r="K67" s="76"/>
      <c r="L67" t="s">
        <v>142</v>
      </c>
    </row>
    <row r="68" spans="9:15">
      <c r="I68" s="83">
        <v>0.1234</v>
      </c>
      <c r="K68" s="76"/>
    </row>
    <row r="69" spans="9:15">
      <c r="I69" s="83">
        <v>-0.1234</v>
      </c>
      <c r="K69" s="76"/>
    </row>
    <row r="70" spans="9:15">
      <c r="I70" s="83">
        <v>0.78900000000000003</v>
      </c>
      <c r="K70" s="76"/>
    </row>
    <row r="71" spans="9:15">
      <c r="I71" s="83">
        <v>-0.78900000000000003</v>
      </c>
      <c r="K71" s="76"/>
    </row>
    <row r="72" spans="9:15">
      <c r="I72" s="1">
        <v>123456.78900462962</v>
      </c>
      <c r="K72" s="76" t="s">
        <v>143</v>
      </c>
    </row>
    <row r="73" spans="9:15">
      <c r="I73" s="1">
        <v>-123456.789</v>
      </c>
      <c r="K73" s="76"/>
    </row>
    <row r="74" spans="9:15">
      <c r="I74" s="1">
        <v>123456.43210000001</v>
      </c>
      <c r="K74" s="76"/>
    </row>
    <row r="75" spans="9:15">
      <c r="I75" s="1">
        <v>-123456.43210000001</v>
      </c>
      <c r="K75" s="76"/>
    </row>
    <row r="76" spans="9:15">
      <c r="I76" s="1">
        <v>0.1234</v>
      </c>
      <c r="K76" s="76"/>
    </row>
    <row r="77" spans="9:15">
      <c r="I77" s="1">
        <v>-0.1234</v>
      </c>
      <c r="K77" s="76"/>
    </row>
    <row r="78" spans="9:15">
      <c r="I78" s="1">
        <v>0.78900000000000003</v>
      </c>
      <c r="K78" s="76"/>
    </row>
    <row r="79" spans="9:15">
      <c r="I79" s="1">
        <v>-0.78900000000000003</v>
      </c>
      <c r="K79" s="76"/>
    </row>
    <row r="80" spans="9:15">
      <c r="I80" s="85">
        <v>0</v>
      </c>
      <c r="L80" t="s">
        <v>145</v>
      </c>
      <c r="N80" t="s">
        <v>151</v>
      </c>
      <c r="O80" t="s">
        <v>152</v>
      </c>
    </row>
    <row r="81" spans="8:14">
      <c r="I81" s="85">
        <v>1</v>
      </c>
      <c r="L81" t="s">
        <v>146</v>
      </c>
      <c r="N81" t="s">
        <v>153</v>
      </c>
    </row>
    <row r="82" spans="8:14">
      <c r="I82" s="85">
        <v>2</v>
      </c>
      <c r="L82" t="s">
        <v>147</v>
      </c>
      <c r="N82" t="s">
        <v>154</v>
      </c>
    </row>
    <row r="83" spans="8:14">
      <c r="I83" s="85">
        <v>3</v>
      </c>
      <c r="L83" t="s">
        <v>148</v>
      </c>
    </row>
    <row r="84" spans="8:14">
      <c r="I84" s="85">
        <v>4</v>
      </c>
      <c r="L84" t="s">
        <v>149</v>
      </c>
    </row>
    <row r="85" spans="8:14">
      <c r="I85" s="85">
        <v>5</v>
      </c>
      <c r="L85" t="s">
        <v>150</v>
      </c>
    </row>
    <row r="86" spans="8:14">
      <c r="I86" s="85">
        <v>6</v>
      </c>
      <c r="L86" t="s">
        <v>159</v>
      </c>
      <c r="N86" t="s">
        <v>160</v>
      </c>
    </row>
    <row r="87" spans="8:14">
      <c r="I87" s="85">
        <v>7</v>
      </c>
    </row>
    <row r="88" spans="8:14">
      <c r="I88" s="85">
        <v>8</v>
      </c>
    </row>
    <row r="89" spans="8:14">
      <c r="I89" s="85">
        <v>9</v>
      </c>
    </row>
    <row r="90" spans="8:14">
      <c r="H90" s="86">
        <v>0</v>
      </c>
      <c r="I90" s="87">
        <v>0</v>
      </c>
      <c r="K90" s="76" t="s">
        <v>144</v>
      </c>
    </row>
    <row r="91" spans="8:14">
      <c r="H91" s="86">
        <v>0.25</v>
      </c>
      <c r="I91" s="87">
        <v>0.25</v>
      </c>
      <c r="K91" s="76"/>
    </row>
    <row r="92" spans="8:14">
      <c r="H92" s="86">
        <v>0.5</v>
      </c>
      <c r="I92" s="87">
        <v>0.5</v>
      </c>
      <c r="K92" s="76"/>
    </row>
    <row r="93" spans="8:14">
      <c r="H93" s="86">
        <v>0.75</v>
      </c>
      <c r="I93" s="87">
        <v>0.75</v>
      </c>
      <c r="K93" s="76"/>
    </row>
    <row r="94" spans="8:14">
      <c r="H94" s="86">
        <v>1</v>
      </c>
      <c r="I94" s="87">
        <v>1</v>
      </c>
      <c r="K94" s="76"/>
    </row>
    <row r="95" spans="8:14">
      <c r="I95" s="88">
        <v>0</v>
      </c>
      <c r="K95" t="s">
        <v>155</v>
      </c>
    </row>
    <row r="96" spans="8:14">
      <c r="I96" s="89">
        <v>5.25</v>
      </c>
      <c r="K96" t="s">
        <v>156</v>
      </c>
    </row>
    <row r="97" spans="9:11">
      <c r="I97" s="90">
        <v>5.5</v>
      </c>
      <c r="K97" t="s">
        <v>157</v>
      </c>
    </row>
    <row r="98" spans="9:11">
      <c r="I98" s="91">
        <v>6.75</v>
      </c>
      <c r="K98" t="s">
        <v>158</v>
      </c>
    </row>
    <row r="99" spans="9:11">
      <c r="I99" s="87">
        <v>1</v>
      </c>
    </row>
  </sheetData>
  <mergeCells count="16">
    <mergeCell ref="K47:K54"/>
    <mergeCell ref="K55:K63"/>
    <mergeCell ref="K64:K71"/>
    <mergeCell ref="K72:K79"/>
    <mergeCell ref="K90:K94"/>
    <mergeCell ref="K7:K14"/>
    <mergeCell ref="K15:K22"/>
    <mergeCell ref="K23:K30"/>
    <mergeCell ref="K31:K38"/>
    <mergeCell ref="K39:K46"/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/>
  <cols>
    <col min="3" max="3" width="13.25" customWidth="1"/>
  </cols>
  <sheetData>
    <row r="1" spans="1:6" ht="20.25">
      <c r="A1" s="68" t="s">
        <v>1</v>
      </c>
      <c r="B1" s="68"/>
      <c r="C1" s="68"/>
      <c r="D1" s="68"/>
      <c r="E1" s="68"/>
      <c r="F1" s="68"/>
    </row>
    <row r="2" spans="1:6" ht="17.25" thickBot="1"/>
    <row r="3" spans="1:6">
      <c r="A3" s="16" t="s">
        <v>26</v>
      </c>
      <c r="B3" s="17" t="s">
        <v>27</v>
      </c>
      <c r="C3" s="17" t="s">
        <v>28</v>
      </c>
      <c r="D3" s="17" t="s">
        <v>29</v>
      </c>
      <c r="E3" s="17" t="s">
        <v>30</v>
      </c>
      <c r="F3" s="18" t="s">
        <v>31</v>
      </c>
    </row>
    <row r="4" spans="1:6">
      <c r="A4" s="69" t="s">
        <v>32</v>
      </c>
      <c r="B4" s="71" t="s">
        <v>33</v>
      </c>
      <c r="C4" s="11" t="s">
        <v>34</v>
      </c>
      <c r="D4" s="12">
        <v>45</v>
      </c>
      <c r="E4" s="13">
        <v>2</v>
      </c>
      <c r="F4" s="72">
        <v>90</v>
      </c>
    </row>
    <row r="5" spans="1:6">
      <c r="A5" s="69"/>
      <c r="B5" s="71"/>
      <c r="C5" s="11" t="s">
        <v>35</v>
      </c>
      <c r="D5" s="14">
        <v>40</v>
      </c>
      <c r="E5" s="13">
        <v>2</v>
      </c>
      <c r="F5" s="72"/>
    </row>
    <row r="6" spans="1:6">
      <c r="A6" s="69"/>
      <c r="B6" s="71"/>
      <c r="C6" s="11" t="s">
        <v>36</v>
      </c>
      <c r="D6" s="14">
        <v>40</v>
      </c>
      <c r="E6" s="13">
        <v>2</v>
      </c>
      <c r="F6" s="72"/>
    </row>
    <row r="7" spans="1:6">
      <c r="A7" s="69" t="s">
        <v>37</v>
      </c>
      <c r="B7" s="14" t="s">
        <v>38</v>
      </c>
      <c r="C7" s="15" t="s">
        <v>90</v>
      </c>
      <c r="D7" s="14">
        <v>3</v>
      </c>
      <c r="E7" s="13">
        <v>10</v>
      </c>
      <c r="F7" s="72">
        <v>30</v>
      </c>
    </row>
    <row r="8" spans="1:6">
      <c r="A8" s="69"/>
      <c r="B8" s="14" t="s">
        <v>39</v>
      </c>
      <c r="C8" s="12" t="s">
        <v>40</v>
      </c>
      <c r="D8" s="14">
        <v>10</v>
      </c>
      <c r="E8" s="13">
        <v>5</v>
      </c>
      <c r="F8" s="72"/>
    </row>
    <row r="9" spans="1:6" ht="17.25" thickBot="1">
      <c r="A9" s="70"/>
      <c r="B9" s="19" t="s">
        <v>41</v>
      </c>
      <c r="C9" s="20" t="s">
        <v>42</v>
      </c>
      <c r="D9" s="19">
        <v>2</v>
      </c>
      <c r="E9" s="21">
        <v>35</v>
      </c>
      <c r="F9" s="73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tabSelected="1" workbookViewId="0">
      <selection activeCell="N13" sqref="N13"/>
    </sheetView>
  </sheetViews>
  <sheetFormatPr defaultRowHeight="16.5"/>
  <cols>
    <col min="2" max="2" width="16.25" bestFit="1" customWidth="1"/>
    <col min="5" max="5" width="17.125" bestFit="1" customWidth="1"/>
    <col min="9" max="9" width="1.625" customWidth="1"/>
    <col min="10" max="10" width="11.125" bestFit="1" customWidth="1"/>
  </cols>
  <sheetData>
    <row r="1" spans="1:10" ht="30" customHeight="1" thickBot="1">
      <c r="A1" s="74" t="s">
        <v>102</v>
      </c>
      <c r="B1" s="74"/>
      <c r="C1" s="74"/>
      <c r="D1" s="74"/>
      <c r="E1" s="74"/>
      <c r="F1" s="74"/>
      <c r="G1" s="74"/>
      <c r="H1" s="74"/>
    </row>
    <row r="2" spans="1:10" ht="17.25" thickTop="1"/>
    <row r="3" spans="1:10">
      <c r="A3" s="23" t="s">
        <v>43</v>
      </c>
      <c r="B3" s="23" t="s">
        <v>3</v>
      </c>
      <c r="C3" s="23" t="s">
        <v>45</v>
      </c>
      <c r="D3" s="23" t="s">
        <v>46</v>
      </c>
      <c r="E3" s="23" t="s">
        <v>47</v>
      </c>
      <c r="F3" s="23" t="s">
        <v>48</v>
      </c>
      <c r="G3" s="23" t="s">
        <v>49</v>
      </c>
      <c r="H3" s="23" t="s">
        <v>50</v>
      </c>
      <c r="J3" t="s">
        <v>51</v>
      </c>
    </row>
    <row r="4" spans="1:10">
      <c r="A4" s="75" t="s">
        <v>52</v>
      </c>
      <c r="B4" s="24" t="s">
        <v>53</v>
      </c>
      <c r="C4" s="24" t="s">
        <v>103</v>
      </c>
      <c r="D4" s="24" t="s">
        <v>54</v>
      </c>
      <c r="E4" s="25" t="s">
        <v>104</v>
      </c>
      <c r="F4" s="26">
        <v>5000</v>
      </c>
      <c r="G4" s="24">
        <v>100</v>
      </c>
      <c r="H4" s="24" t="s">
        <v>55</v>
      </c>
      <c r="J4">
        <v>5</v>
      </c>
    </row>
    <row r="5" spans="1:10">
      <c r="A5" s="75"/>
      <c r="B5" s="24" t="s">
        <v>56</v>
      </c>
      <c r="C5" s="24" t="s">
        <v>91</v>
      </c>
      <c r="D5" s="24" t="s">
        <v>57</v>
      </c>
      <c r="E5" s="25" t="s">
        <v>107</v>
      </c>
      <c r="F5" s="26">
        <v>12500</v>
      </c>
      <c r="G5" s="24">
        <v>48</v>
      </c>
      <c r="H5" s="24" t="s">
        <v>58</v>
      </c>
      <c r="J5">
        <v>3</v>
      </c>
    </row>
    <row r="6" spans="1:10">
      <c r="A6" s="75"/>
      <c r="B6" s="24" t="s">
        <v>59</v>
      </c>
      <c r="C6" s="24" t="s">
        <v>92</v>
      </c>
      <c r="D6" s="24" t="s">
        <v>60</v>
      </c>
      <c r="E6" s="25" t="s">
        <v>107</v>
      </c>
      <c r="F6" s="26">
        <v>15000</v>
      </c>
      <c r="G6" s="24">
        <v>96</v>
      </c>
      <c r="H6" s="24" t="s">
        <v>61</v>
      </c>
      <c r="J6">
        <v>10</v>
      </c>
    </row>
    <row r="7" spans="1:10">
      <c r="A7" s="75" t="s">
        <v>62</v>
      </c>
      <c r="B7" s="24" t="s">
        <v>63</v>
      </c>
      <c r="C7" s="24" t="s">
        <v>93</v>
      </c>
      <c r="D7" s="24" t="s">
        <v>64</v>
      </c>
      <c r="E7" s="25" t="s">
        <v>105</v>
      </c>
      <c r="F7" s="26">
        <v>10000</v>
      </c>
      <c r="G7" s="24">
        <v>27</v>
      </c>
      <c r="H7" s="24" t="s">
        <v>58</v>
      </c>
      <c r="J7">
        <v>15</v>
      </c>
    </row>
    <row r="8" spans="1:10">
      <c r="A8" s="75"/>
      <c r="B8" s="24" t="s">
        <v>65</v>
      </c>
      <c r="C8" s="24" t="s">
        <v>94</v>
      </c>
      <c r="D8" s="24" t="s">
        <v>66</v>
      </c>
      <c r="E8" s="25" t="s">
        <v>108</v>
      </c>
      <c r="F8" s="26">
        <v>6500</v>
      </c>
      <c r="G8" s="24">
        <v>71</v>
      </c>
      <c r="H8" s="24" t="s">
        <v>61</v>
      </c>
      <c r="J8">
        <v>14</v>
      </c>
    </row>
    <row r="9" spans="1:10">
      <c r="A9" s="75"/>
      <c r="B9" s="24" t="s">
        <v>68</v>
      </c>
      <c r="C9" s="24" t="s">
        <v>95</v>
      </c>
      <c r="D9" s="24" t="s">
        <v>69</v>
      </c>
      <c r="E9" s="25" t="s">
        <v>108</v>
      </c>
      <c r="F9" s="26">
        <v>8500</v>
      </c>
      <c r="G9" s="24">
        <v>75</v>
      </c>
      <c r="H9" s="24" t="s">
        <v>55</v>
      </c>
      <c r="J9">
        <v>7</v>
      </c>
    </row>
    <row r="10" spans="1:10">
      <c r="A10" s="75" t="s">
        <v>70</v>
      </c>
      <c r="B10" s="24" t="s">
        <v>71</v>
      </c>
      <c r="C10" s="24" t="s">
        <v>96</v>
      </c>
      <c r="D10" s="24" t="s">
        <v>72</v>
      </c>
      <c r="E10" s="25" t="s">
        <v>104</v>
      </c>
      <c r="F10" s="26">
        <v>6500</v>
      </c>
      <c r="G10" s="24">
        <v>38</v>
      </c>
      <c r="H10" s="24" t="s">
        <v>55</v>
      </c>
      <c r="J10">
        <v>5</v>
      </c>
    </row>
    <row r="11" spans="1:10">
      <c r="A11" s="75"/>
      <c r="B11" s="24" t="s">
        <v>74</v>
      </c>
      <c r="C11" s="24" t="s">
        <v>97</v>
      </c>
      <c r="D11" s="24" t="s">
        <v>75</v>
      </c>
      <c r="E11" s="25" t="s">
        <v>109</v>
      </c>
      <c r="F11" s="26">
        <v>13500</v>
      </c>
      <c r="G11" s="24">
        <v>87</v>
      </c>
      <c r="H11" s="24" t="s">
        <v>58</v>
      </c>
      <c r="J11">
        <v>3</v>
      </c>
    </row>
    <row r="12" spans="1:10">
      <c r="A12" s="75"/>
      <c r="B12" s="24" t="s">
        <v>77</v>
      </c>
      <c r="C12" s="24" t="s">
        <v>98</v>
      </c>
      <c r="D12" s="24" t="s">
        <v>78</v>
      </c>
      <c r="E12" s="25" t="s">
        <v>105</v>
      </c>
      <c r="F12" s="26">
        <v>7000</v>
      </c>
      <c r="G12" s="24">
        <v>60</v>
      </c>
      <c r="H12" s="24" t="s">
        <v>61</v>
      </c>
      <c r="J12">
        <v>9</v>
      </c>
    </row>
    <row r="13" spans="1:10">
      <c r="A13" s="75" t="s">
        <v>80</v>
      </c>
      <c r="B13" s="24" t="s">
        <v>81</v>
      </c>
      <c r="C13" s="24" t="s">
        <v>99</v>
      </c>
      <c r="D13" s="24" t="s">
        <v>69</v>
      </c>
      <c r="E13" s="25" t="s">
        <v>106</v>
      </c>
      <c r="F13" s="26">
        <v>15000</v>
      </c>
      <c r="G13" s="24">
        <v>66</v>
      </c>
      <c r="H13" s="24" t="s">
        <v>83</v>
      </c>
      <c r="J13">
        <v>4</v>
      </c>
    </row>
    <row r="14" spans="1:10">
      <c r="A14" s="75"/>
      <c r="B14" s="24" t="s">
        <v>84</v>
      </c>
      <c r="C14" s="24" t="s">
        <v>100</v>
      </c>
      <c r="D14" s="24" t="s">
        <v>60</v>
      </c>
      <c r="E14" s="25" t="s">
        <v>106</v>
      </c>
      <c r="F14" s="26">
        <v>18500</v>
      </c>
      <c r="G14" s="24">
        <v>93</v>
      </c>
      <c r="H14" s="24" t="s">
        <v>83</v>
      </c>
      <c r="J14">
        <v>10</v>
      </c>
    </row>
    <row r="15" spans="1:10">
      <c r="A15" s="75"/>
      <c r="B15" s="24" t="s">
        <v>87</v>
      </c>
      <c r="C15" s="24" t="s">
        <v>101</v>
      </c>
      <c r="D15" s="24" t="s">
        <v>88</v>
      </c>
      <c r="E15" s="25" t="s">
        <v>106</v>
      </c>
      <c r="F15" s="26">
        <v>16000</v>
      </c>
      <c r="G15" s="24">
        <v>65</v>
      </c>
      <c r="H15" s="24" t="s">
        <v>83</v>
      </c>
      <c r="J15">
        <v>21</v>
      </c>
    </row>
    <row r="17" spans="4:5">
      <c r="D17" t="s">
        <v>89</v>
      </c>
      <c r="E17" s="22">
        <v>45657</v>
      </c>
    </row>
  </sheetData>
  <mergeCells count="5">
    <mergeCell ref="A1:H1"/>
    <mergeCell ref="A4:A6"/>
    <mergeCell ref="A7:A9"/>
    <mergeCell ref="A10:A12"/>
    <mergeCell ref="A13:A15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>
      <c r="A1" s="74" t="s">
        <v>102</v>
      </c>
      <c r="B1" s="74"/>
      <c r="C1" s="74"/>
      <c r="D1" s="74"/>
      <c r="E1" s="74"/>
      <c r="F1" s="74"/>
      <c r="G1" s="74"/>
      <c r="H1" s="74"/>
    </row>
    <row r="2" spans="1:10" ht="17.25" thickTop="1"/>
    <row r="3" spans="1:10">
      <c r="A3" s="23" t="s">
        <v>43</v>
      </c>
      <c r="B3" s="23" t="s">
        <v>44</v>
      </c>
      <c r="C3" s="23" t="s">
        <v>45</v>
      </c>
      <c r="D3" s="23" t="s">
        <v>46</v>
      </c>
      <c r="E3" s="23" t="s">
        <v>47</v>
      </c>
      <c r="F3" s="23" t="s">
        <v>48</v>
      </c>
      <c r="G3" s="23" t="s">
        <v>49</v>
      </c>
      <c r="H3" s="23" t="s">
        <v>50</v>
      </c>
      <c r="J3" t="s">
        <v>51</v>
      </c>
    </row>
    <row r="4" spans="1:10">
      <c r="A4" s="75" t="s">
        <v>52</v>
      </c>
      <c r="B4" s="24" t="s">
        <v>53</v>
      </c>
      <c r="C4" s="24" t="s">
        <v>103</v>
      </c>
      <c r="D4" s="24" t="s">
        <v>54</v>
      </c>
      <c r="E4" s="25" t="s">
        <v>104</v>
      </c>
      <c r="F4" s="26">
        <v>5000</v>
      </c>
      <c r="G4" s="24">
        <v>100</v>
      </c>
      <c r="H4" s="24" t="s">
        <v>55</v>
      </c>
      <c r="J4">
        <v>5</v>
      </c>
    </row>
    <row r="5" spans="1:10">
      <c r="A5" s="75"/>
      <c r="B5" s="24" t="s">
        <v>56</v>
      </c>
      <c r="C5" s="24" t="s">
        <v>91</v>
      </c>
      <c r="D5" s="24" t="s">
        <v>57</v>
      </c>
      <c r="E5" s="25" t="s">
        <v>107</v>
      </c>
      <c r="F5" s="26">
        <v>12500</v>
      </c>
      <c r="G5" s="24">
        <v>48</v>
      </c>
      <c r="H5" s="24" t="s">
        <v>58</v>
      </c>
      <c r="J5">
        <v>3</v>
      </c>
    </row>
    <row r="6" spans="1:10">
      <c r="A6" s="75"/>
      <c r="B6" s="24" t="s">
        <v>59</v>
      </c>
      <c r="C6" s="24" t="s">
        <v>92</v>
      </c>
      <c r="D6" s="24" t="s">
        <v>60</v>
      </c>
      <c r="E6" s="25" t="s">
        <v>107</v>
      </c>
      <c r="F6" s="26">
        <v>15000</v>
      </c>
      <c r="G6" s="24">
        <v>96</v>
      </c>
      <c r="H6" s="24" t="s">
        <v>61</v>
      </c>
      <c r="J6">
        <v>10</v>
      </c>
    </row>
    <row r="7" spans="1:10">
      <c r="A7" s="75" t="s">
        <v>62</v>
      </c>
      <c r="B7" s="24" t="s">
        <v>63</v>
      </c>
      <c r="C7" s="24" t="s">
        <v>93</v>
      </c>
      <c r="D7" s="24" t="s">
        <v>64</v>
      </c>
      <c r="E7" s="25" t="s">
        <v>105</v>
      </c>
      <c r="F7" s="26">
        <v>10000</v>
      </c>
      <c r="G7" s="24">
        <v>27</v>
      </c>
      <c r="H7" s="24" t="s">
        <v>58</v>
      </c>
      <c r="J7">
        <v>15</v>
      </c>
    </row>
    <row r="8" spans="1:10">
      <c r="A8" s="75"/>
      <c r="B8" s="24" t="s">
        <v>65</v>
      </c>
      <c r="C8" s="24" t="s">
        <v>94</v>
      </c>
      <c r="D8" s="24" t="s">
        <v>66</v>
      </c>
      <c r="E8" s="25" t="s">
        <v>108</v>
      </c>
      <c r="F8" s="26">
        <v>6500</v>
      </c>
      <c r="G8" s="24">
        <v>71</v>
      </c>
      <c r="H8" s="24" t="s">
        <v>67</v>
      </c>
      <c r="J8">
        <v>14</v>
      </c>
    </row>
    <row r="9" spans="1:10">
      <c r="A9" s="75"/>
      <c r="B9" s="24" t="s">
        <v>68</v>
      </c>
      <c r="C9" s="24" t="s">
        <v>95</v>
      </c>
      <c r="D9" s="24" t="s">
        <v>69</v>
      </c>
      <c r="E9" s="25" t="s">
        <v>108</v>
      </c>
      <c r="F9" s="26">
        <v>8500</v>
      </c>
      <c r="G9" s="24">
        <v>75</v>
      </c>
      <c r="H9" s="24" t="s">
        <v>55</v>
      </c>
      <c r="J9">
        <v>7</v>
      </c>
    </row>
    <row r="10" spans="1:10">
      <c r="A10" s="75" t="s">
        <v>70</v>
      </c>
      <c r="B10" s="24" t="s">
        <v>71</v>
      </c>
      <c r="C10" s="24" t="s">
        <v>96</v>
      </c>
      <c r="D10" s="24" t="s">
        <v>72</v>
      </c>
      <c r="E10" s="25" t="s">
        <v>104</v>
      </c>
      <c r="F10" s="26">
        <v>6500</v>
      </c>
      <c r="G10" s="24">
        <v>38</v>
      </c>
      <c r="H10" s="24" t="s">
        <v>73</v>
      </c>
      <c r="J10">
        <v>5</v>
      </c>
    </row>
    <row r="11" spans="1:10">
      <c r="A11" s="75"/>
      <c r="B11" s="24" t="s">
        <v>74</v>
      </c>
      <c r="C11" s="24" t="s">
        <v>97</v>
      </c>
      <c r="D11" s="24" t="s">
        <v>75</v>
      </c>
      <c r="E11" s="25" t="s">
        <v>109</v>
      </c>
      <c r="F11" s="26">
        <v>13500</v>
      </c>
      <c r="G11" s="24">
        <v>87</v>
      </c>
      <c r="H11" s="24" t="s">
        <v>76</v>
      </c>
      <c r="J11">
        <v>3</v>
      </c>
    </row>
    <row r="12" spans="1:10">
      <c r="A12" s="75"/>
      <c r="B12" s="24" t="s">
        <v>77</v>
      </c>
      <c r="C12" s="24" t="s">
        <v>98</v>
      </c>
      <c r="D12" s="24" t="s">
        <v>78</v>
      </c>
      <c r="E12" s="25" t="s">
        <v>105</v>
      </c>
      <c r="F12" s="26">
        <v>7000</v>
      </c>
      <c r="G12" s="24">
        <v>60</v>
      </c>
      <c r="H12" s="24" t="s">
        <v>79</v>
      </c>
      <c r="J12">
        <v>9</v>
      </c>
    </row>
    <row r="13" spans="1:10">
      <c r="A13" s="75" t="s">
        <v>80</v>
      </c>
      <c r="B13" s="24" t="s">
        <v>81</v>
      </c>
      <c r="C13" s="24" t="s">
        <v>99</v>
      </c>
      <c r="D13" s="24" t="s">
        <v>82</v>
      </c>
      <c r="E13" s="25" t="s">
        <v>106</v>
      </c>
      <c r="F13" s="26">
        <v>15000</v>
      </c>
      <c r="G13" s="24">
        <v>66</v>
      </c>
      <c r="H13" s="24" t="s">
        <v>83</v>
      </c>
      <c r="J13">
        <v>4</v>
      </c>
    </row>
    <row r="14" spans="1:10">
      <c r="A14" s="75"/>
      <c r="B14" s="24" t="s">
        <v>84</v>
      </c>
      <c r="C14" s="24" t="s">
        <v>100</v>
      </c>
      <c r="D14" s="24" t="s">
        <v>85</v>
      </c>
      <c r="E14" s="25" t="s">
        <v>106</v>
      </c>
      <c r="F14" s="26">
        <v>18500</v>
      </c>
      <c r="G14" s="24">
        <v>93</v>
      </c>
      <c r="H14" s="24" t="s">
        <v>86</v>
      </c>
      <c r="J14">
        <v>10</v>
      </c>
    </row>
    <row r="15" spans="1:10">
      <c r="A15" s="75"/>
      <c r="B15" s="24" t="s">
        <v>87</v>
      </c>
      <c r="C15" s="24" t="s">
        <v>101</v>
      </c>
      <c r="D15" s="24" t="s">
        <v>88</v>
      </c>
      <c r="E15" s="25" t="s">
        <v>106</v>
      </c>
      <c r="F15" s="26">
        <v>16000</v>
      </c>
      <c r="G15" s="24">
        <v>65</v>
      </c>
      <c r="H15" s="24" t="s">
        <v>83</v>
      </c>
      <c r="J15">
        <v>21</v>
      </c>
    </row>
    <row r="17" spans="4:5">
      <c r="D17" t="s">
        <v>89</v>
      </c>
      <c r="E17" s="22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배점1</vt:lpstr>
      <vt:lpstr>제품명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2026-08-31T11:45:08Z</cp:lastPrinted>
  <dcterms:created xsi:type="dcterms:W3CDTF">2020-04-05T04:10:18Z</dcterms:created>
  <dcterms:modified xsi:type="dcterms:W3CDTF">2026-09-01T11:25:09Z</dcterms:modified>
</cp:coreProperties>
</file>