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/>
  <mc:AlternateContent xmlns:mc="http://schemas.openxmlformats.org/markup-compatibility/2006">
    <mc:Choice Requires="x15">
      <x15ac:absPath xmlns:x15ac="http://schemas.microsoft.com/office/spreadsheetml/2010/11/ac" url="E:\public\mbc\AGI_2026_09\기본서\26컴활2급\이론\"/>
    </mc:Choice>
  </mc:AlternateContent>
  <xr:revisionPtr revIDLastSave="0" documentId="13_ncr:1_{6F31E63F-2488-4156-A687-D7E5D45FAC5D}" xr6:coauthVersionLast="47" xr6:coauthVersionMax="47" xr10:uidLastSave="{00000000-0000-0000-0000-000000000000}"/>
  <bookViews>
    <workbookView xWindow="22932" yWindow="-108" windowWidth="23256" windowHeight="12576" tabRatio="923" activeTab="2" xr2:uid="{00000000-000D-0000-FFFF-FFFF00000000}"/>
  </bookViews>
  <sheets>
    <sheet name="기본작업2-1" sheetId="4" r:id="rId1"/>
    <sheet name="기본작업2-1(결과)" sheetId="1" r:id="rId2"/>
    <sheet name="기본작업2-2" sheetId="5" r:id="rId3"/>
    <sheet name="기본작업2-2(결과)" sheetId="2" r:id="rId4"/>
    <sheet name="기본작업2-3" sheetId="7" r:id="rId5"/>
    <sheet name="기본작업2-3(결과)" sheetId="3" r:id="rId6"/>
  </sheets>
  <definedNames>
    <definedName name="배점">'기본작업2-2'!$D$4:$D$9</definedName>
    <definedName name="배점1">'기본작업2-2(결과)'!$D$4:$D$9</definedName>
    <definedName name="제품명">'기본작업2-1'!$C$5:$C$12</definedName>
    <definedName name="제품명1">'기본작업2-1(결과)'!$C$5:$C$12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4" l="1"/>
  <c r="G14" i="4"/>
  <c r="F14" i="4"/>
  <c r="E14" i="4"/>
  <c r="D14" i="4"/>
  <c r="H13" i="4"/>
  <c r="G13" i="4"/>
  <c r="F13" i="4"/>
  <c r="E13" i="4"/>
  <c r="D13" i="4"/>
  <c r="I12" i="4"/>
  <c r="I11" i="4"/>
  <c r="I10" i="4"/>
  <c r="I9" i="4"/>
  <c r="I8" i="4"/>
  <c r="I7" i="4"/>
  <c r="I6" i="4"/>
  <c r="I5" i="4"/>
  <c r="H14" i="1" l="1"/>
  <c r="G14" i="1"/>
  <c r="F14" i="1"/>
  <c r="E14" i="1"/>
  <c r="D14" i="1"/>
  <c r="H13" i="1"/>
  <c r="G13" i="1"/>
  <c r="F13" i="1"/>
  <c r="E13" i="1"/>
  <c r="D13" i="1"/>
  <c r="I12" i="1"/>
  <c r="I11" i="1"/>
  <c r="I10" i="1"/>
  <c r="I9" i="1"/>
  <c r="I8" i="1"/>
  <c r="I7" i="1"/>
  <c r="I6" i="1"/>
  <c r="I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mbc</author>
  </authors>
  <commentList>
    <comment ref="I5" authorId="0" shapeId="0" xr:uid="{2452E4C6-D46D-4C80-8CF9-C37B11670D3C}">
      <text>
        <r>
          <rPr>
            <b/>
            <sz val="9"/>
            <color indexed="81"/>
            <rFont val="돋움"/>
            <family val="3"/>
            <charset val="129"/>
          </rPr>
          <t>최고인기품목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mbc</author>
    <author>User</author>
  </authors>
  <commentList>
    <comment ref="P3" authorId="0" shapeId="0" xr:uid="{EB8E55AE-D107-4454-978A-6EB9AA5067E9}">
      <text>
        <r>
          <rPr>
            <b/>
            <sz val="9"/>
            <color indexed="81"/>
            <rFont val="돋움"/>
            <family val="3"/>
            <charset val="129"/>
          </rPr>
          <t>동요</t>
        </r>
      </text>
    </comment>
    <comment ref="I5" authorId="1" shapeId="0" xr:uid="{D9CAFA41-995E-4733-8BE7-8253FA0B5429}">
      <text>
        <r>
          <rPr>
            <b/>
            <sz val="9"/>
            <color indexed="81"/>
            <rFont val="돋움"/>
            <family val="3"/>
            <charset val="129"/>
          </rPr>
          <t>최고인기품목</t>
        </r>
      </text>
    </comment>
  </commentList>
</comments>
</file>

<file path=xl/sharedStrings.xml><?xml version="1.0" encoding="utf-8"?>
<sst xmlns="http://schemas.openxmlformats.org/spreadsheetml/2006/main" count="266" uniqueCount="149">
  <si>
    <t>영진유통 7월 라면류 매출현황</t>
    <phoneticPr fontId="2" type="noConversion"/>
  </si>
  <si>
    <t>인성인증 항목 및 배점표</t>
    <phoneticPr fontId="2" type="noConversion"/>
  </si>
  <si>
    <t>반려동물 간식 판매 현황</t>
    <phoneticPr fontId="2" type="noConversion"/>
  </si>
  <si>
    <t>제품군</t>
    <phoneticPr fontId="2" type="noConversion"/>
  </si>
  <si>
    <t>제품명</t>
    <phoneticPr fontId="2" type="noConversion"/>
  </si>
  <si>
    <t>강남</t>
    <phoneticPr fontId="2" type="noConversion"/>
  </si>
  <si>
    <t>강북</t>
    <phoneticPr fontId="2" type="noConversion"/>
  </si>
  <si>
    <t>경기</t>
    <phoneticPr fontId="2" type="noConversion"/>
  </si>
  <si>
    <t>제품별합계</t>
    <phoneticPr fontId="2" type="noConversion"/>
  </si>
  <si>
    <t>서초마트</t>
    <phoneticPr fontId="2" type="noConversion"/>
  </si>
  <si>
    <t>방배마트</t>
    <phoneticPr fontId="2" type="noConversion"/>
  </si>
  <si>
    <t>미아마트</t>
    <phoneticPr fontId="2" type="noConversion"/>
  </si>
  <si>
    <t>수운마트</t>
    <phoneticPr fontId="2" type="noConversion"/>
  </si>
  <si>
    <t>용인마트</t>
    <phoneticPr fontId="2" type="noConversion"/>
  </si>
  <si>
    <t>짜장</t>
    <phoneticPr fontId="2" type="noConversion"/>
  </si>
  <si>
    <t>왕짜장면</t>
    <phoneticPr fontId="2" type="noConversion"/>
  </si>
  <si>
    <t>첨짜장면</t>
    <phoneticPr fontId="2" type="noConversion"/>
  </si>
  <si>
    <t>짬뽕</t>
    <phoneticPr fontId="2" type="noConversion"/>
  </si>
  <si>
    <t>왕짬뽕면</t>
    <phoneticPr fontId="2" type="noConversion"/>
  </si>
  <si>
    <t>첨짬뽕면</t>
    <phoneticPr fontId="2" type="noConversion"/>
  </si>
  <si>
    <t>핫짬뽕면</t>
    <phoneticPr fontId="2" type="noConversion"/>
  </si>
  <si>
    <t>비빔면</t>
    <phoneticPr fontId="2" type="noConversion"/>
  </si>
  <si>
    <t>열무비빔면</t>
    <phoneticPr fontId="2" type="noConversion"/>
  </si>
  <si>
    <t>고추장면</t>
    <phoneticPr fontId="2" type="noConversion"/>
  </si>
  <si>
    <t>메밀면</t>
    <phoneticPr fontId="2" type="noConversion"/>
  </si>
  <si>
    <t>마트별합계</t>
    <phoneticPr fontId="2" type="noConversion"/>
  </si>
  <si>
    <t>마트별평균</t>
    <phoneticPr fontId="2" type="noConversion"/>
  </si>
  <si>
    <t>인증영역</t>
    <phoneticPr fontId="2" type="noConversion"/>
  </si>
  <si>
    <t>인증항목</t>
    <phoneticPr fontId="2" type="noConversion"/>
  </si>
  <si>
    <t>내용</t>
    <phoneticPr fontId="2" type="noConversion"/>
  </si>
  <si>
    <t>배점</t>
    <phoneticPr fontId="2" type="noConversion"/>
  </si>
  <si>
    <t>회수</t>
    <phoneticPr fontId="2" type="noConversion"/>
  </si>
  <si>
    <t>최대배점</t>
    <phoneticPr fontId="2" type="noConversion"/>
  </si>
  <si>
    <t>기본영역</t>
    <phoneticPr fontId="2" type="noConversion"/>
  </si>
  <si>
    <t>출석률</t>
    <phoneticPr fontId="2" type="noConversion"/>
  </si>
  <si>
    <t>95~100</t>
    <phoneticPr fontId="2" type="noConversion"/>
  </si>
  <si>
    <t>90~95</t>
    <phoneticPr fontId="2" type="noConversion"/>
  </si>
  <si>
    <t>80~89</t>
    <phoneticPr fontId="2" type="noConversion"/>
  </si>
  <si>
    <t>인성점수</t>
    <phoneticPr fontId="2" type="noConversion"/>
  </si>
  <si>
    <t>문화관람</t>
    <phoneticPr fontId="2" type="noConversion"/>
  </si>
  <si>
    <t>헌혈</t>
    <phoneticPr fontId="2" type="noConversion"/>
  </si>
  <si>
    <t>헌혈참여</t>
    <phoneticPr fontId="2" type="noConversion"/>
  </si>
  <si>
    <t>교외봉사</t>
    <phoneticPr fontId="2" type="noConversion"/>
  </si>
  <si>
    <t>봉사시간</t>
    <phoneticPr fontId="2" type="noConversion"/>
  </si>
  <si>
    <t>구분</t>
    <phoneticPr fontId="2" type="noConversion"/>
  </si>
  <si>
    <t>제품명</t>
    <phoneticPr fontId="2" type="noConversion"/>
  </si>
  <si>
    <t>제품코드</t>
    <phoneticPr fontId="2" type="noConversion"/>
  </si>
  <si>
    <t>단위</t>
    <phoneticPr fontId="2" type="noConversion"/>
  </si>
  <si>
    <t>유통기한</t>
    <phoneticPr fontId="2" type="noConversion"/>
  </si>
  <si>
    <t>판매가</t>
    <phoneticPr fontId="2" type="noConversion"/>
  </si>
  <si>
    <t>판매량</t>
    <phoneticPr fontId="2" type="noConversion"/>
  </si>
  <si>
    <t>비고</t>
    <phoneticPr fontId="2" type="noConversion"/>
  </si>
  <si>
    <t>추가 판매량</t>
    <phoneticPr fontId="2" type="noConversion"/>
  </si>
  <si>
    <t>쿠키</t>
    <phoneticPr fontId="2" type="noConversion"/>
  </si>
  <si>
    <t>허니버터링쿠키</t>
    <phoneticPr fontId="2" type="noConversion"/>
  </si>
  <si>
    <t>CK01</t>
    <phoneticPr fontId="2" type="noConversion"/>
  </si>
  <si>
    <t>150g</t>
    <phoneticPr fontId="2" type="noConversion"/>
  </si>
  <si>
    <t>일반</t>
    <phoneticPr fontId="2" type="noConversion"/>
  </si>
  <si>
    <t>바우바우콤보쿠키</t>
    <phoneticPr fontId="2" type="noConversion"/>
  </si>
  <si>
    <t>CK02</t>
    <phoneticPr fontId="2" type="noConversion"/>
  </si>
  <si>
    <t>300g</t>
    <phoneticPr fontId="2" type="noConversion"/>
  </si>
  <si>
    <t>대형견</t>
    <phoneticPr fontId="2" type="noConversion"/>
  </si>
  <si>
    <t>유기농치즈쿠키</t>
    <phoneticPr fontId="2" type="noConversion"/>
  </si>
  <si>
    <t>CK03</t>
    <phoneticPr fontId="2" type="noConversion"/>
  </si>
  <si>
    <t>100g</t>
    <phoneticPr fontId="2" type="noConversion"/>
  </si>
  <si>
    <t>소형견</t>
    <phoneticPr fontId="2" type="noConversion"/>
  </si>
  <si>
    <t>육포</t>
    <phoneticPr fontId="2" type="noConversion"/>
  </si>
  <si>
    <t>통가슴살육포</t>
    <phoneticPr fontId="2" type="noConversion"/>
  </si>
  <si>
    <t>BJ01</t>
    <phoneticPr fontId="2" type="noConversion"/>
  </si>
  <si>
    <t>250g</t>
    <phoneticPr fontId="2" type="noConversion"/>
  </si>
  <si>
    <t>오리오리육포</t>
    <phoneticPr fontId="2" type="noConversion"/>
  </si>
  <si>
    <t>BJ02</t>
    <phoneticPr fontId="2" type="noConversion"/>
  </si>
  <si>
    <t>70g</t>
    <phoneticPr fontId="2" type="noConversion"/>
  </si>
  <si>
    <t>소형견</t>
    <phoneticPr fontId="2" type="noConversion"/>
  </si>
  <si>
    <t>롤롤치킨육포</t>
    <phoneticPr fontId="2" type="noConversion"/>
  </si>
  <si>
    <t>BJ03</t>
    <phoneticPr fontId="2" type="noConversion"/>
  </si>
  <si>
    <t>120g</t>
    <phoneticPr fontId="2" type="noConversion"/>
  </si>
  <si>
    <t>껌</t>
    <phoneticPr fontId="2" type="noConversion"/>
  </si>
  <si>
    <t>왈왈크런치껌</t>
    <phoneticPr fontId="2" type="noConversion"/>
  </si>
  <si>
    <t>GU01</t>
    <phoneticPr fontId="2" type="noConversion"/>
  </si>
  <si>
    <t>65g</t>
    <phoneticPr fontId="2" type="noConversion"/>
  </si>
  <si>
    <t>일반</t>
    <phoneticPr fontId="2" type="noConversion"/>
  </si>
  <si>
    <t>울트라치킨껌</t>
    <phoneticPr fontId="2" type="noConversion"/>
  </si>
  <si>
    <t>GU02</t>
    <phoneticPr fontId="2" type="noConversion"/>
  </si>
  <si>
    <t>350g</t>
    <phoneticPr fontId="2" type="noConversion"/>
  </si>
  <si>
    <t>대형견</t>
    <phoneticPr fontId="2" type="noConversion"/>
  </si>
  <si>
    <t>칼슘가득껌</t>
    <phoneticPr fontId="2" type="noConversion"/>
  </si>
  <si>
    <t>GU03</t>
    <phoneticPr fontId="2" type="noConversion"/>
  </si>
  <si>
    <t>85g</t>
    <phoneticPr fontId="2" type="noConversion"/>
  </si>
  <si>
    <t>소형견</t>
    <phoneticPr fontId="2" type="noConversion"/>
  </si>
  <si>
    <t>간식</t>
    <phoneticPr fontId="2" type="noConversion"/>
  </si>
  <si>
    <t>웰빙훈제케어간식</t>
    <phoneticPr fontId="2" type="noConversion"/>
  </si>
  <si>
    <t>SN01</t>
    <phoneticPr fontId="2" type="noConversion"/>
  </si>
  <si>
    <t>120g</t>
    <phoneticPr fontId="2" type="noConversion"/>
  </si>
  <si>
    <t>기능성</t>
    <phoneticPr fontId="2" type="noConversion"/>
  </si>
  <si>
    <t>건강한오리육포</t>
    <phoneticPr fontId="2" type="noConversion"/>
  </si>
  <si>
    <t>SN02</t>
    <phoneticPr fontId="2" type="noConversion"/>
  </si>
  <si>
    <t>100g</t>
    <phoneticPr fontId="2" type="noConversion"/>
  </si>
  <si>
    <t>기능성</t>
    <phoneticPr fontId="2" type="noConversion"/>
  </si>
  <si>
    <t>덴탈케어스틱</t>
    <phoneticPr fontId="2" type="noConversion"/>
  </si>
  <si>
    <t>SN03</t>
    <phoneticPr fontId="2" type="noConversion"/>
  </si>
  <si>
    <t>95g</t>
    <phoneticPr fontId="2" type="noConversion"/>
  </si>
  <si>
    <t>작성일</t>
    <phoneticPr fontId="2" type="noConversion"/>
  </si>
  <si>
    <t>영화/演劇/전시회</t>
    <phoneticPr fontId="2" type="noConversion"/>
  </si>
  <si>
    <t>CK-02</t>
    <phoneticPr fontId="2" type="noConversion"/>
  </si>
  <si>
    <t>CK-03</t>
    <phoneticPr fontId="2" type="noConversion"/>
  </si>
  <si>
    <t>BJ-01</t>
    <phoneticPr fontId="2" type="noConversion"/>
  </si>
  <si>
    <t>BJ-02</t>
    <phoneticPr fontId="2" type="noConversion"/>
  </si>
  <si>
    <t>BJ-03</t>
    <phoneticPr fontId="2" type="noConversion"/>
  </si>
  <si>
    <t>GU-01</t>
    <phoneticPr fontId="2" type="noConversion"/>
  </si>
  <si>
    <t>GU-02</t>
    <phoneticPr fontId="2" type="noConversion"/>
  </si>
  <si>
    <t>GU-03</t>
    <phoneticPr fontId="2" type="noConversion"/>
  </si>
  <si>
    <t>SN-01</t>
    <phoneticPr fontId="2" type="noConversion"/>
  </si>
  <si>
    <t>SN-02</t>
    <phoneticPr fontId="2" type="noConversion"/>
  </si>
  <si>
    <t>SN-03</t>
    <phoneticPr fontId="2" type="noConversion"/>
  </si>
  <si>
    <t>○반려동물 간식 판매 현황○</t>
    <phoneticPr fontId="2" type="noConversion"/>
  </si>
  <si>
    <t>CK-01</t>
    <phoneticPr fontId="2" type="noConversion"/>
  </si>
  <si>
    <t>2026년 5월</t>
  </si>
  <si>
    <t>2026년 8월</t>
  </si>
  <si>
    <t>2027년 12월</t>
  </si>
  <si>
    <t>2025년 3월</t>
  </si>
  <si>
    <t>2025년 10월</t>
  </si>
  <si>
    <t>2025년 12월</t>
  </si>
  <si>
    <t>1. 글꼴</t>
    <phoneticPr fontId="2" type="noConversion"/>
  </si>
  <si>
    <t>2. 배경색</t>
    <phoneticPr fontId="2" type="noConversion"/>
  </si>
  <si>
    <t>3. 테두리</t>
    <phoneticPr fontId="2" type="noConversion"/>
  </si>
  <si>
    <t>4. 셀서식</t>
    <phoneticPr fontId="2" type="noConversion"/>
  </si>
  <si>
    <t>5. 맞춤</t>
    <phoneticPr fontId="2" type="noConversion"/>
  </si>
  <si>
    <t>6. 메모</t>
    <phoneticPr fontId="2" type="noConversion"/>
  </si>
  <si>
    <t xml:space="preserve">아기상어 </t>
    <phoneticPr fontId="2" type="noConversion"/>
  </si>
  <si>
    <t>엄마상어</t>
    <phoneticPr fontId="2" type="noConversion"/>
  </si>
  <si>
    <t>아빠상어</t>
    <phoneticPr fontId="2" type="noConversion"/>
  </si>
  <si>
    <t>B5,D7,H9</t>
    <phoneticPr fontId="2" type="noConversion"/>
  </si>
  <si>
    <t>-각 셀을 따로 따로 선택</t>
    <phoneticPr fontId="2" type="noConversion"/>
  </si>
  <si>
    <t>[D6:G7]</t>
    <phoneticPr fontId="2" type="noConversion"/>
  </si>
  <si>
    <t>-연속하여(드래그)하여 선택</t>
    <phoneticPr fontId="2" type="noConversion"/>
  </si>
  <si>
    <t>아기상어</t>
    <phoneticPr fontId="2" type="noConversion"/>
  </si>
  <si>
    <t>할머니상어</t>
    <phoneticPr fontId="2" type="noConversion"/>
  </si>
  <si>
    <t>@</t>
    <phoneticPr fontId="2" type="noConversion"/>
  </si>
  <si>
    <t>문자대상</t>
    <phoneticPr fontId="2" type="noConversion"/>
  </si>
  <si>
    <t>숫자-자릿수가 없을 경우 0 표시</t>
    <phoneticPr fontId="2" type="noConversion"/>
  </si>
  <si>
    <t>#</t>
    <phoneticPr fontId="2" type="noConversion"/>
  </si>
  <si>
    <t>숫자-자릿수가 없을 경우 생략</t>
    <phoneticPr fontId="2" type="noConversion"/>
  </si>
  <si>
    <t>,</t>
    <phoneticPr fontId="2" type="noConversion"/>
  </si>
  <si>
    <t>숫자-천단위 구분기호</t>
    <phoneticPr fontId="2" type="noConversion"/>
  </si>
  <si>
    <t>0,000</t>
    <phoneticPr fontId="2" type="noConversion"/>
  </si>
  <si>
    <t>0,000.00000</t>
    <phoneticPr fontId="2" type="noConversion"/>
  </si>
  <si>
    <t>#,###</t>
    <phoneticPr fontId="2" type="noConversion"/>
  </si>
  <si>
    <t>#,##0.00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</si>
</sst>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1" formatCode="_-* #,##0_-;\-* #,##0_-;_-* &quot;-&quot;_-;_-@_-"/>
    <numFmt numFmtId="176" formatCode="#,##0&quot;개&quot;"/>
    <numFmt numFmtId="177" formatCode="#.00"/>
    <numFmt numFmtId="178" formatCode="@&quot;%&quot;"/>
    <numFmt numFmtId="179" formatCode="0&quot;회&quot;"/>
    <numFmt numFmtId="180" formatCode="&quot;₩&quot;#,##0_);[Red]\(&quot;₩&quot;#,##0\)"/>
    <numFmt numFmtId="181" formatCode="@&quot;까지&quot;"/>
    <numFmt numFmtId="182" formatCode="0_);[Red]\(0\)"/>
    <numFmt numFmtId="183" formatCode="_-* #,##0.00000_-;\-* #,##0.00000_-;_-* &quot;-&quot;_-;_-@_-"/>
    <numFmt numFmtId="184" formatCode="0,000.00&quot;원&quot;"/>
    <numFmt numFmtId="185" formatCode="@&quot;뚜루루뚜루&quot;"/>
    <numFmt numFmtId="186" formatCode="#,000"/>
    <numFmt numFmtId="187" formatCode="0,000.00000"/>
    <numFmt numFmtId="188" formatCode="#,###"/>
  </numFmts>
  <fonts count="11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b/>
      <u val="double"/>
      <sz val="16"/>
      <color theme="1"/>
      <name val="HY견고딕"/>
      <family val="1"/>
      <charset val="129"/>
    </font>
    <font>
      <strike/>
      <sz val="24"/>
      <color rgb="FFFF0000"/>
      <name val="HY헤드라인M"/>
      <family val="1"/>
      <charset val="129"/>
    </font>
    <font>
      <sz val="11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gradientFill degree="45">
        <stop position="0">
          <color theme="4"/>
        </stop>
        <stop position="1">
          <color rgb="FFFF0000"/>
        </stop>
      </gradientFill>
    </fill>
    <fill>
      <patternFill patternType="lightGray">
        <fgColor theme="9" tint="-0.24994659260841701"/>
        <bgColor indexed="65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medium">
        <color indexed="64"/>
      </left>
      <right style="double">
        <color rgb="FFFF0000"/>
      </right>
      <top style="medium">
        <color indexed="64"/>
      </top>
      <bottom style="double">
        <color rgb="FFFF0000"/>
      </bottom>
      <diagonal/>
    </border>
    <border>
      <left style="double">
        <color rgb="FFFF0000"/>
      </left>
      <right style="double">
        <color rgb="FFFF0000"/>
      </right>
      <top style="medium">
        <color indexed="64"/>
      </top>
      <bottom style="double">
        <color rgb="FFFF0000"/>
      </bottom>
      <diagonal/>
    </border>
    <border>
      <left style="double">
        <color rgb="FFFF0000"/>
      </left>
      <right style="medium">
        <color indexed="64"/>
      </right>
      <top style="medium">
        <color indexed="64"/>
      </top>
      <bottom style="double">
        <color rgb="FFFF0000"/>
      </bottom>
      <diagonal/>
    </border>
    <border>
      <left style="medium">
        <color indexed="64"/>
      </left>
      <right style="double">
        <color rgb="FFFF0000"/>
      </right>
      <top style="double">
        <color rgb="FFFF0000"/>
      </top>
      <bottom style="double">
        <color rgb="FFFF0000"/>
      </bottom>
      <diagonal/>
    </border>
    <border>
      <left style="double">
        <color rgb="FFFF0000"/>
      </left>
      <right style="double">
        <color rgb="FFFF0000"/>
      </right>
      <top style="double">
        <color rgb="FFFF0000"/>
      </top>
      <bottom style="double">
        <color rgb="FFFF0000"/>
      </bottom>
      <diagonal/>
    </border>
    <border>
      <left style="double">
        <color rgb="FFFF0000"/>
      </left>
      <right style="medium">
        <color indexed="64"/>
      </right>
      <top style="double">
        <color rgb="FFFF0000"/>
      </top>
      <bottom style="double">
        <color rgb="FFFF0000"/>
      </bottom>
      <diagonal/>
    </border>
    <border>
      <left style="medium">
        <color indexed="64"/>
      </left>
      <right style="double">
        <color rgb="FFFF0000"/>
      </right>
      <top style="double">
        <color rgb="FFFF0000"/>
      </top>
      <bottom style="medium">
        <color indexed="64"/>
      </bottom>
      <diagonal/>
    </border>
    <border>
      <left style="double">
        <color rgb="FFFF0000"/>
      </left>
      <right style="double">
        <color rgb="FFFF0000"/>
      </right>
      <top style="double">
        <color rgb="FFFF0000"/>
      </top>
      <bottom style="medium">
        <color indexed="64"/>
      </bottom>
      <diagonal/>
    </border>
    <border>
      <left style="double">
        <color rgb="FFFF0000"/>
      </left>
      <right style="medium">
        <color indexed="64"/>
      </right>
      <top style="double">
        <color rgb="FFFF0000"/>
      </top>
      <bottom style="medium">
        <color indexed="64"/>
      </bottom>
      <diagonal/>
    </border>
    <border diagonalUp="1" diagonalDown="1">
      <left style="double">
        <color rgb="FFFF0000"/>
      </left>
      <right style="double">
        <color rgb="FFFF0000"/>
      </right>
      <top style="double">
        <color rgb="FFFF0000"/>
      </top>
      <bottom style="medium">
        <color indexed="64"/>
      </bottom>
      <diagonal style="thick">
        <color rgb="FF00B0F0"/>
      </diagonal>
    </border>
    <border diagonalUp="1" diagonalDown="1">
      <left style="double">
        <color rgb="FFFF0000"/>
      </left>
      <right style="double">
        <color rgb="FFFF0000"/>
      </right>
      <top style="double">
        <color rgb="FFFF0000"/>
      </top>
      <bottom style="double">
        <color rgb="FFFF0000"/>
      </bottom>
      <diagonal style="thick">
        <color rgb="FF00B0F0"/>
      </diagonal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5" fillId="2" borderId="0" applyNumberFormat="0" applyBorder="0" applyAlignment="0" applyProtection="0">
      <alignment vertical="center"/>
    </xf>
  </cellStyleXfs>
  <cellXfs count="81">
    <xf numFmtId="0" fontId="0" fillId="0" borderId="0" xfId="0">
      <alignment vertical="center"/>
    </xf>
    <xf numFmtId="0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2" xfId="0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6" fontId="0" fillId="0" borderId="2" xfId="1" applyNumberFormat="1" applyFont="1" applyBorder="1">
      <alignment vertical="center"/>
    </xf>
    <xf numFmtId="41" fontId="0" fillId="0" borderId="2" xfId="1" applyFont="1" applyBorder="1">
      <alignment vertical="center"/>
    </xf>
    <xf numFmtId="0" fontId="0" fillId="0" borderId="4" xfId="0" applyBorder="1" applyAlignment="1">
      <alignment horizontal="center" vertical="center"/>
    </xf>
    <xf numFmtId="41" fontId="0" fillId="0" borderId="7" xfId="1" applyFont="1" applyBorder="1">
      <alignment vertical="center"/>
    </xf>
    <xf numFmtId="177" fontId="0" fillId="0" borderId="9" xfId="0" applyNumberFormat="1" applyBorder="1">
      <alignment vertical="center"/>
    </xf>
    <xf numFmtId="41" fontId="0" fillId="0" borderId="12" xfId="1" applyFont="1" applyBorder="1">
      <alignment vertical="center"/>
    </xf>
    <xf numFmtId="0" fontId="0" fillId="0" borderId="11" xfId="0" applyBorder="1">
      <alignment vertical="center"/>
    </xf>
    <xf numFmtId="178" fontId="3" fillId="0" borderId="2" xfId="0" applyNumberFormat="1" applyFont="1" applyBorder="1" applyAlignment="1">
      <alignment horizontal="right" vertical="center"/>
    </xf>
    <xf numFmtId="0" fontId="3" fillId="0" borderId="2" xfId="0" applyFont="1" applyBorder="1" applyAlignment="1">
      <alignment horizontal="right" vertical="center"/>
    </xf>
    <xf numFmtId="179" fontId="3" fillId="0" borderId="2" xfId="0" applyNumberFormat="1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3" fillId="0" borderId="2" xfId="0" applyFont="1" applyBorder="1" applyAlignment="1">
      <alignment horizontal="right" vertical="center" shrinkToFit="1"/>
    </xf>
    <xf numFmtId="0" fontId="5" fillId="2" borderId="3" xfId="3" applyBorder="1" applyAlignment="1">
      <alignment horizontal="center" vertical="center"/>
    </xf>
    <xf numFmtId="0" fontId="5" fillId="2" borderId="4" xfId="3" applyBorder="1" applyAlignment="1">
      <alignment horizontal="center" vertical="center"/>
    </xf>
    <xf numFmtId="0" fontId="5" fillId="2" borderId="5" xfId="3" applyBorder="1" applyAlignment="1">
      <alignment horizontal="center" vertical="center"/>
    </xf>
    <xf numFmtId="0" fontId="3" fillId="0" borderId="9" xfId="0" applyFont="1" applyBorder="1" applyAlignment="1">
      <alignment vertical="center"/>
    </xf>
    <xf numFmtId="0" fontId="3" fillId="0" borderId="9" xfId="0" applyFont="1" applyBorder="1" applyAlignment="1">
      <alignment horizontal="right" vertical="center"/>
    </xf>
    <xf numFmtId="179" fontId="3" fillId="0" borderId="9" xfId="0" applyNumberFormat="1" applyFont="1" applyBorder="1" applyAlignment="1">
      <alignment vertical="center"/>
    </xf>
    <xf numFmtId="57" fontId="0" fillId="0" borderId="0" xfId="0" applyNumberFormat="1">
      <alignment vertical="center"/>
    </xf>
    <xf numFmtId="0" fontId="0" fillId="4" borderId="13" xfId="0" applyFill="1" applyBorder="1">
      <alignment vertical="center"/>
    </xf>
    <xf numFmtId="0" fontId="0" fillId="0" borderId="13" xfId="0" applyBorder="1">
      <alignment vertical="center"/>
    </xf>
    <xf numFmtId="181" fontId="0" fillId="0" borderId="13" xfId="0" applyNumberFormat="1" applyBorder="1">
      <alignment vertical="center"/>
    </xf>
    <xf numFmtId="180" fontId="0" fillId="0" borderId="13" xfId="0" applyNumberFormat="1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9" fillId="4" borderId="15" xfId="0" applyFont="1" applyFill="1" applyBorder="1" applyAlignment="1">
      <alignment horizontal="justify" vertical="top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4" xfId="0" applyBorder="1">
      <alignment vertical="center"/>
    </xf>
    <xf numFmtId="0" fontId="0" fillId="0" borderId="23" xfId="0" applyBorder="1">
      <alignment vertical="center"/>
    </xf>
    <xf numFmtId="183" fontId="0" fillId="5" borderId="18" xfId="1" applyNumberFormat="1" applyFont="1" applyFill="1" applyBorder="1">
      <alignment vertical="center"/>
    </xf>
    <xf numFmtId="184" fontId="0" fillId="5" borderId="18" xfId="0" applyNumberFormat="1" applyFill="1" applyBorder="1">
      <alignment vertical="center"/>
    </xf>
    <xf numFmtId="182" fontId="0" fillId="5" borderId="18" xfId="0" applyNumberFormat="1" applyFill="1" applyBorder="1">
      <alignment vertical="center"/>
    </xf>
    <xf numFmtId="0" fontId="0" fillId="5" borderId="18" xfId="0" applyFill="1" applyBorder="1">
      <alignment vertical="center"/>
    </xf>
    <xf numFmtId="0" fontId="0" fillId="5" borderId="21" xfId="0" applyFill="1" applyBorder="1">
      <alignment vertical="center"/>
    </xf>
    <xf numFmtId="0" fontId="0" fillId="6" borderId="18" xfId="0" applyFill="1" applyBorder="1" applyAlignment="1">
      <alignment horizontal="centerContinuous" vertical="center"/>
    </xf>
    <xf numFmtId="0" fontId="0" fillId="6" borderId="19" xfId="0" applyFill="1" applyBorder="1" applyAlignment="1">
      <alignment horizontal="centerContinuous" vertical="center"/>
    </xf>
    <xf numFmtId="180" fontId="0" fillId="6" borderId="18" xfId="0" applyNumberFormat="1" applyFill="1" applyBorder="1">
      <alignment vertical="center"/>
    </xf>
    <xf numFmtId="0" fontId="0" fillId="6" borderId="18" xfId="0" applyFill="1" applyBorder="1">
      <alignment vertical="center"/>
    </xf>
    <xf numFmtId="0" fontId="0" fillId="6" borderId="19" xfId="0" applyFill="1" applyBorder="1">
      <alignment vertical="center"/>
    </xf>
    <xf numFmtId="0" fontId="0" fillId="0" borderId="0" xfId="0" quotePrefix="1">
      <alignment vertical="center"/>
    </xf>
    <xf numFmtId="2" fontId="0" fillId="0" borderId="9" xfId="0" applyNumberFormat="1" applyBorder="1">
      <alignment vertical="center"/>
    </xf>
    <xf numFmtId="185" fontId="10" fillId="0" borderId="0" xfId="3" applyNumberFormat="1" applyFont="1" applyFill="1" applyBorder="1" applyAlignment="1">
      <alignment horizontal="left" vertical="center"/>
    </xf>
    <xf numFmtId="185" fontId="0" fillId="0" borderId="0" xfId="0" applyNumberFormat="1">
      <alignment vertical="center"/>
    </xf>
    <xf numFmtId="186" fontId="0" fillId="0" borderId="0" xfId="0" applyNumberFormat="1">
      <alignment vertical="center"/>
    </xf>
    <xf numFmtId="0" fontId="0" fillId="0" borderId="8" xfId="0" applyBorder="1" applyAlignment="1">
      <alignment horizontal="distributed" vertical="center"/>
    </xf>
    <xf numFmtId="0" fontId="0" fillId="0" borderId="9" xfId="0" applyBorder="1" applyAlignment="1">
      <alignment horizontal="distributed" vertical="center"/>
    </xf>
    <xf numFmtId="0" fontId="0" fillId="0" borderId="6" xfId="0" applyBorder="1" applyAlignment="1">
      <alignment horizontal="center" vertical="center"/>
    </xf>
    <xf numFmtId="0" fontId="0" fillId="0" borderId="6" xfId="0" applyBorder="1" applyAlignment="1">
      <alignment horizontal="distributed" vertical="center"/>
    </xf>
    <xf numFmtId="0" fontId="0" fillId="0" borderId="2" xfId="0" applyBorder="1" applyAlignment="1">
      <alignment horizontal="distributed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7" xfId="0" applyNumberFormat="1" applyFont="1" applyBorder="1" applyAlignment="1">
      <alignment horizontal="center" vertical="center"/>
    </xf>
    <xf numFmtId="0" fontId="3" fillId="0" borderId="10" xfId="0" applyNumberFormat="1" applyFont="1" applyBorder="1" applyAlignment="1">
      <alignment horizontal="center" vertical="center"/>
    </xf>
    <xf numFmtId="0" fontId="4" fillId="0" borderId="1" xfId="2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7" fontId="0" fillId="0" borderId="0" xfId="0" applyNumberFormat="1">
      <alignment vertical="center"/>
    </xf>
    <xf numFmtId="188" fontId="0" fillId="0" borderId="0" xfId="0" applyNumberFormat="1">
      <alignment vertical="center"/>
    </xf>
    <xf numFmtId="4" fontId="0" fillId="0" borderId="0" xfId="0" applyNumberFormat="1">
      <alignment vertical="center"/>
    </xf>
  </cellXfs>
  <cellStyles count="4">
    <cellStyle name="강조색4" xfId="3" builtinId="41"/>
    <cellStyle name="쉼표 [0]" xfId="1" builtinId="6"/>
    <cellStyle name="제목 1" xfId="2" builtinId="1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I14"/>
  <sheetViews>
    <sheetView zoomScale="130" zoomScaleNormal="130" workbookViewId="0">
      <selection activeCell="K6" sqref="K6"/>
    </sheetView>
  </sheetViews>
  <sheetFormatPr defaultRowHeight="16.5" x14ac:dyDescent="0.3"/>
  <cols>
    <col min="1" max="1" width="2.625" customWidth="1"/>
    <col min="3" max="3" width="10.375" bestFit="1" customWidth="1"/>
    <col min="9" max="9" width="10.375" bestFit="1" customWidth="1"/>
  </cols>
  <sheetData>
    <row r="1" spans="2:9" x14ac:dyDescent="0.3">
      <c r="B1" t="s">
        <v>0</v>
      </c>
    </row>
    <row r="2" spans="2:9" ht="17.25" thickBot="1" x14ac:dyDescent="0.35"/>
    <row r="3" spans="2:9" x14ac:dyDescent="0.3">
      <c r="B3" s="62" t="s">
        <v>3</v>
      </c>
      <c r="C3" s="63" t="s">
        <v>4</v>
      </c>
      <c r="D3" s="63" t="s">
        <v>5</v>
      </c>
      <c r="E3" s="63"/>
      <c r="F3" s="28" t="s">
        <v>6</v>
      </c>
      <c r="G3" s="63" t="s">
        <v>7</v>
      </c>
      <c r="H3" s="63"/>
      <c r="I3" s="65" t="s">
        <v>8</v>
      </c>
    </row>
    <row r="4" spans="2:9" x14ac:dyDescent="0.3">
      <c r="B4" s="59"/>
      <c r="C4" s="64"/>
      <c r="D4" s="4" t="s">
        <v>9</v>
      </c>
      <c r="E4" s="4" t="s">
        <v>10</v>
      </c>
      <c r="F4" s="4" t="s">
        <v>11</v>
      </c>
      <c r="G4" s="4" t="s">
        <v>12</v>
      </c>
      <c r="H4" s="4" t="s">
        <v>13</v>
      </c>
      <c r="I4" s="66"/>
    </row>
    <row r="5" spans="2:9" x14ac:dyDescent="0.3">
      <c r="B5" s="59" t="s">
        <v>14</v>
      </c>
      <c r="C5" s="29" t="s">
        <v>15</v>
      </c>
      <c r="D5" s="5">
        <v>125</v>
      </c>
      <c r="E5" s="5">
        <v>156</v>
      </c>
      <c r="F5" s="5">
        <v>204</v>
      </c>
      <c r="G5" s="5">
        <v>157</v>
      </c>
      <c r="H5" s="5">
        <v>347</v>
      </c>
      <c r="I5" s="8">
        <f>SUM(D5:H5)</f>
        <v>989</v>
      </c>
    </row>
    <row r="6" spans="2:9" x14ac:dyDescent="0.3">
      <c r="B6" s="59"/>
      <c r="C6" s="29" t="s">
        <v>16</v>
      </c>
      <c r="D6" s="5">
        <v>52</v>
      </c>
      <c r="E6" s="5">
        <v>36</v>
      </c>
      <c r="F6" s="5">
        <v>27</v>
      </c>
      <c r="G6" s="5">
        <v>47</v>
      </c>
      <c r="H6" s="5">
        <v>36</v>
      </c>
      <c r="I6" s="8">
        <f t="shared" ref="I6:I12" si="0">SUM(D6:H6)</f>
        <v>198</v>
      </c>
    </row>
    <row r="7" spans="2:9" x14ac:dyDescent="0.3">
      <c r="B7" s="59" t="s">
        <v>17</v>
      </c>
      <c r="C7" s="29" t="s">
        <v>18</v>
      </c>
      <c r="D7" s="5">
        <v>25</v>
      </c>
      <c r="E7" s="5">
        <v>58</v>
      </c>
      <c r="F7" s="5">
        <v>56</v>
      </c>
      <c r="G7" s="5">
        <v>32</v>
      </c>
      <c r="H7" s="5">
        <v>24</v>
      </c>
      <c r="I7" s="8">
        <f>SUM(D7:H7)</f>
        <v>195</v>
      </c>
    </row>
    <row r="8" spans="2:9" x14ac:dyDescent="0.3">
      <c r="B8" s="59"/>
      <c r="C8" s="29" t="s">
        <v>19</v>
      </c>
      <c r="D8" s="5">
        <v>34</v>
      </c>
      <c r="E8" s="5">
        <v>62</v>
      </c>
      <c r="F8" s="5">
        <v>62</v>
      </c>
      <c r="G8" s="5">
        <v>34</v>
      </c>
      <c r="H8" s="5">
        <v>82</v>
      </c>
      <c r="I8" s="8">
        <f>SUM(D8:H8)</f>
        <v>274</v>
      </c>
    </row>
    <row r="9" spans="2:9" x14ac:dyDescent="0.3">
      <c r="B9" s="59"/>
      <c r="C9" s="29" t="s">
        <v>20</v>
      </c>
      <c r="D9" s="5">
        <v>85</v>
      </c>
      <c r="E9" s="5">
        <v>36</v>
      </c>
      <c r="F9" s="5">
        <v>75</v>
      </c>
      <c r="G9" s="5">
        <v>64</v>
      </c>
      <c r="H9" s="5">
        <v>28</v>
      </c>
      <c r="I9" s="8">
        <f>SUM(D9:H9)</f>
        <v>288</v>
      </c>
    </row>
    <row r="10" spans="2:9" x14ac:dyDescent="0.3">
      <c r="B10" s="59" t="s">
        <v>21</v>
      </c>
      <c r="C10" s="29" t="s">
        <v>22</v>
      </c>
      <c r="D10" s="5">
        <v>68</v>
      </c>
      <c r="E10" s="5">
        <v>92</v>
      </c>
      <c r="F10" s="5">
        <v>51</v>
      </c>
      <c r="G10" s="5">
        <v>73</v>
      </c>
      <c r="H10" s="5">
        <v>54</v>
      </c>
      <c r="I10" s="8">
        <f t="shared" si="0"/>
        <v>338</v>
      </c>
    </row>
    <row r="11" spans="2:9" x14ac:dyDescent="0.3">
      <c r="B11" s="59"/>
      <c r="C11" s="29" t="s">
        <v>23</v>
      </c>
      <c r="D11" s="5">
        <v>31</v>
      </c>
      <c r="E11" s="5">
        <v>30</v>
      </c>
      <c r="F11" s="5">
        <v>42</v>
      </c>
      <c r="G11" s="5">
        <v>17</v>
      </c>
      <c r="H11" s="5">
        <v>25</v>
      </c>
      <c r="I11" s="8">
        <f t="shared" si="0"/>
        <v>145</v>
      </c>
    </row>
    <row r="12" spans="2:9" x14ac:dyDescent="0.3">
      <c r="B12" s="59"/>
      <c r="C12" s="29" t="s">
        <v>24</v>
      </c>
      <c r="D12" s="5">
        <v>106</v>
      </c>
      <c r="E12" s="5">
        <v>88</v>
      </c>
      <c r="F12" s="5">
        <v>124</v>
      </c>
      <c r="G12" s="5">
        <v>64</v>
      </c>
      <c r="H12" s="5">
        <v>72</v>
      </c>
      <c r="I12" s="8">
        <f t="shared" si="0"/>
        <v>454</v>
      </c>
    </row>
    <row r="13" spans="2:9" x14ac:dyDescent="0.3">
      <c r="B13" s="60" t="s">
        <v>25</v>
      </c>
      <c r="C13" s="61"/>
      <c r="D13" s="6">
        <f t="shared" ref="D13:H13" si="1">SUM(D5:D12)</f>
        <v>526</v>
      </c>
      <c r="E13" s="6">
        <f t="shared" si="1"/>
        <v>558</v>
      </c>
      <c r="F13" s="6">
        <f t="shared" si="1"/>
        <v>641</v>
      </c>
      <c r="G13" s="6">
        <f t="shared" si="1"/>
        <v>488</v>
      </c>
      <c r="H13" s="6">
        <f t="shared" si="1"/>
        <v>668</v>
      </c>
      <c r="I13" s="10"/>
    </row>
    <row r="14" spans="2:9" ht="17.25" thickBot="1" x14ac:dyDescent="0.35">
      <c r="B14" s="57" t="s">
        <v>26</v>
      </c>
      <c r="C14" s="58"/>
      <c r="D14" s="53">
        <f>AVERAGE(D5:D12)</f>
        <v>65.75</v>
      </c>
      <c r="E14" s="53">
        <f t="shared" ref="E14:H14" si="2">AVERAGE(E5:E12)</f>
        <v>69.75</v>
      </c>
      <c r="F14" s="53">
        <f t="shared" si="2"/>
        <v>80.125</v>
      </c>
      <c r="G14" s="53">
        <f t="shared" si="2"/>
        <v>61</v>
      </c>
      <c r="H14" s="53">
        <f t="shared" si="2"/>
        <v>83.5</v>
      </c>
      <c r="I14" s="11"/>
    </row>
  </sheetData>
  <mergeCells count="10">
    <mergeCell ref="B3:B4"/>
    <mergeCell ref="C3:C4"/>
    <mergeCell ref="D3:E3"/>
    <mergeCell ref="G3:H3"/>
    <mergeCell ref="I3:I4"/>
    <mergeCell ref="B14:C14"/>
    <mergeCell ref="B5:B6"/>
    <mergeCell ref="B7:B9"/>
    <mergeCell ref="B10:B12"/>
    <mergeCell ref="B13:C13"/>
  </mergeCells>
  <phoneticPr fontId="2" type="noConversion"/>
  <pageMargins left="0.7" right="0.7" top="0.75" bottom="0.75" header="0.3" footer="0.3"/>
  <pageSetup paperSize="9" orientation="portrait" horizontalDpi="4294967292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Q14"/>
  <sheetViews>
    <sheetView topLeftCell="B1" workbookViewId="0">
      <selection activeCell="L14" sqref="L14"/>
    </sheetView>
  </sheetViews>
  <sheetFormatPr defaultRowHeight="16.5" x14ac:dyDescent="0.3"/>
  <cols>
    <col min="1" max="1" width="2.625" customWidth="1"/>
    <col min="3" max="3" width="10.375" bestFit="1" customWidth="1"/>
    <col min="9" max="9" width="10.375" bestFit="1" customWidth="1"/>
    <col min="14" max="14" width="27.625" customWidth="1"/>
    <col min="17" max="17" width="5.25" customWidth="1"/>
  </cols>
  <sheetData>
    <row r="1" spans="2:17" x14ac:dyDescent="0.3">
      <c r="B1" t="s">
        <v>0</v>
      </c>
    </row>
    <row r="2" spans="2:17" ht="17.25" thickBot="1" x14ac:dyDescent="0.35">
      <c r="L2" t="s">
        <v>123</v>
      </c>
    </row>
    <row r="3" spans="2:17" ht="101.25" customHeight="1" thickBot="1" x14ac:dyDescent="0.35">
      <c r="B3" s="62" t="s">
        <v>3</v>
      </c>
      <c r="C3" s="63" t="s">
        <v>4</v>
      </c>
      <c r="D3" s="63" t="s">
        <v>5</v>
      </c>
      <c r="E3" s="63"/>
      <c r="F3" s="7" t="s">
        <v>6</v>
      </c>
      <c r="G3" s="63" t="s">
        <v>7</v>
      </c>
      <c r="H3" s="63"/>
      <c r="I3" s="65" t="s">
        <v>8</v>
      </c>
      <c r="L3" s="30" t="s">
        <v>124</v>
      </c>
      <c r="M3" s="31"/>
      <c r="N3" s="32" t="s">
        <v>129</v>
      </c>
      <c r="O3" s="31"/>
      <c r="P3" s="31"/>
      <c r="Q3" s="33"/>
    </row>
    <row r="4" spans="2:17" ht="18" thickTop="1" thickBot="1" x14ac:dyDescent="0.35">
      <c r="B4" s="59"/>
      <c r="C4" s="64"/>
      <c r="D4" s="4" t="s">
        <v>9</v>
      </c>
      <c r="E4" s="4" t="s">
        <v>10</v>
      </c>
      <c r="F4" s="4" t="s">
        <v>11</v>
      </c>
      <c r="G4" s="4" t="s">
        <v>12</v>
      </c>
      <c r="H4" s="4" t="s">
        <v>13</v>
      </c>
      <c r="I4" s="66"/>
      <c r="L4" s="34" t="s">
        <v>125</v>
      </c>
      <c r="M4" s="35"/>
      <c r="N4" s="47" t="s">
        <v>130</v>
      </c>
      <c r="O4" s="47"/>
      <c r="P4" s="47"/>
      <c r="Q4" s="48"/>
    </row>
    <row r="5" spans="2:17" ht="18" thickTop="1" thickBot="1" x14ac:dyDescent="0.35">
      <c r="B5" s="59" t="s">
        <v>14</v>
      </c>
      <c r="C5" s="3" t="s">
        <v>15</v>
      </c>
      <c r="D5" s="5">
        <v>125</v>
      </c>
      <c r="E5" s="5">
        <v>156</v>
      </c>
      <c r="F5" s="5">
        <v>204</v>
      </c>
      <c r="G5" s="5">
        <v>157</v>
      </c>
      <c r="H5" s="5">
        <v>347</v>
      </c>
      <c r="I5" s="8">
        <f>SUM(D5:H5)</f>
        <v>989</v>
      </c>
      <c r="L5" s="34" t="s">
        <v>126</v>
      </c>
      <c r="M5" s="35"/>
      <c r="N5" s="67" t="s">
        <v>130</v>
      </c>
      <c r="O5" s="67"/>
      <c r="P5" s="67"/>
      <c r="Q5" s="68"/>
    </row>
    <row r="6" spans="2:17" ht="18" thickTop="1" thickBot="1" x14ac:dyDescent="0.35">
      <c r="B6" s="59"/>
      <c r="C6" s="3" t="s">
        <v>16</v>
      </c>
      <c r="D6" s="5">
        <v>52</v>
      </c>
      <c r="E6" s="5">
        <v>36</v>
      </c>
      <c r="F6" s="5">
        <v>27</v>
      </c>
      <c r="G6" s="5">
        <v>47</v>
      </c>
      <c r="H6" s="5">
        <v>36</v>
      </c>
      <c r="I6" s="8">
        <f t="shared" ref="I6:I12" si="0">SUM(D6:H6)</f>
        <v>198</v>
      </c>
      <c r="L6" s="34" t="s">
        <v>127</v>
      </c>
      <c r="M6" s="35"/>
      <c r="N6" s="49">
        <v>123456.12300000001</v>
      </c>
      <c r="O6" s="50"/>
      <c r="P6" s="50"/>
      <c r="Q6" s="51"/>
    </row>
    <row r="7" spans="2:17" ht="18" thickTop="1" thickBot="1" x14ac:dyDescent="0.35">
      <c r="B7" s="59" t="s">
        <v>17</v>
      </c>
      <c r="C7" s="3" t="s">
        <v>18</v>
      </c>
      <c r="D7" s="5">
        <v>25</v>
      </c>
      <c r="E7" s="5">
        <v>58</v>
      </c>
      <c r="F7" s="5">
        <v>56</v>
      </c>
      <c r="G7" s="5">
        <v>32</v>
      </c>
      <c r="H7" s="5">
        <v>24</v>
      </c>
      <c r="I7" s="8">
        <f>SUM(D7:H7)</f>
        <v>195</v>
      </c>
      <c r="L7" s="34" t="s">
        <v>128</v>
      </c>
      <c r="M7" s="35"/>
      <c r="N7" s="42">
        <v>123456.12300000001</v>
      </c>
      <c r="O7" s="35"/>
      <c r="P7" s="35"/>
      <c r="Q7" s="36"/>
    </row>
    <row r="8" spans="2:17" ht="18" thickTop="1" thickBot="1" x14ac:dyDescent="0.35">
      <c r="B8" s="59"/>
      <c r="C8" s="3" t="s">
        <v>19</v>
      </c>
      <c r="D8" s="5">
        <v>34</v>
      </c>
      <c r="E8" s="5">
        <v>62</v>
      </c>
      <c r="F8" s="5">
        <v>62</v>
      </c>
      <c r="G8" s="5">
        <v>34</v>
      </c>
      <c r="H8" s="5">
        <v>82</v>
      </c>
      <c r="I8" s="8">
        <f>SUM(D8:H8)</f>
        <v>274</v>
      </c>
      <c r="L8" s="34"/>
      <c r="M8" s="35"/>
      <c r="N8" s="43">
        <v>123456.12300000001</v>
      </c>
      <c r="O8" s="35"/>
      <c r="P8" s="40"/>
      <c r="Q8" s="36"/>
    </row>
    <row r="9" spans="2:17" ht="18" thickTop="1" thickBot="1" x14ac:dyDescent="0.35">
      <c r="B9" s="59"/>
      <c r="C9" s="3" t="s">
        <v>20</v>
      </c>
      <c r="D9" s="5">
        <v>85</v>
      </c>
      <c r="E9" s="5">
        <v>36</v>
      </c>
      <c r="F9" s="5">
        <v>75</v>
      </c>
      <c r="G9" s="5">
        <v>64</v>
      </c>
      <c r="H9" s="5">
        <v>28</v>
      </c>
      <c r="I9" s="8">
        <f>SUM(D9:H9)</f>
        <v>288</v>
      </c>
      <c r="L9" s="34"/>
      <c r="M9" s="35"/>
      <c r="N9" s="44">
        <v>-123456.12300000001</v>
      </c>
      <c r="O9" s="35"/>
      <c r="P9" s="40"/>
      <c r="Q9" s="36"/>
    </row>
    <row r="10" spans="2:17" ht="18" thickTop="1" thickBot="1" x14ac:dyDescent="0.35">
      <c r="B10" s="59" t="s">
        <v>21</v>
      </c>
      <c r="C10" s="3" t="s">
        <v>22</v>
      </c>
      <c r="D10" s="5">
        <v>68</v>
      </c>
      <c r="E10" s="5">
        <v>92</v>
      </c>
      <c r="F10" s="5">
        <v>51</v>
      </c>
      <c r="G10" s="5">
        <v>73</v>
      </c>
      <c r="H10" s="5">
        <v>54</v>
      </c>
      <c r="I10" s="8">
        <f t="shared" si="0"/>
        <v>338</v>
      </c>
      <c r="L10" s="34"/>
      <c r="M10" s="35"/>
      <c r="N10" s="45">
        <v>-123456.12300000001</v>
      </c>
      <c r="O10" s="35"/>
      <c r="P10" s="40"/>
      <c r="Q10" s="36"/>
    </row>
    <row r="11" spans="2:17" ht="18" thickTop="1" thickBot="1" x14ac:dyDescent="0.35">
      <c r="B11" s="59"/>
      <c r="C11" s="3" t="s">
        <v>23</v>
      </c>
      <c r="D11" s="5">
        <v>31</v>
      </c>
      <c r="E11" s="5">
        <v>30</v>
      </c>
      <c r="F11" s="5">
        <v>42</v>
      </c>
      <c r="G11" s="5">
        <v>17</v>
      </c>
      <c r="H11" s="5">
        <v>25</v>
      </c>
      <c r="I11" s="8">
        <f t="shared" si="0"/>
        <v>145</v>
      </c>
      <c r="L11" s="37"/>
      <c r="M11" s="38"/>
      <c r="N11" s="46">
        <v>-123456.12300000001</v>
      </c>
      <c r="O11" s="38"/>
      <c r="P11" s="41"/>
      <c r="Q11" s="39"/>
    </row>
    <row r="12" spans="2:17" x14ac:dyDescent="0.3">
      <c r="B12" s="59"/>
      <c r="C12" s="3" t="s">
        <v>24</v>
      </c>
      <c r="D12" s="5">
        <v>106</v>
      </c>
      <c r="E12" s="5">
        <v>88</v>
      </c>
      <c r="F12" s="5">
        <v>124</v>
      </c>
      <c r="G12" s="5">
        <v>64</v>
      </c>
      <c r="H12" s="5">
        <v>72</v>
      </c>
      <c r="I12" s="8">
        <f t="shared" si="0"/>
        <v>454</v>
      </c>
    </row>
    <row r="13" spans="2:17" x14ac:dyDescent="0.3">
      <c r="B13" s="60" t="s">
        <v>25</v>
      </c>
      <c r="C13" s="61"/>
      <c r="D13" s="6">
        <f t="shared" ref="D13:H13" si="1">SUM(D5:D12)</f>
        <v>526</v>
      </c>
      <c r="E13" s="6">
        <f t="shared" si="1"/>
        <v>558</v>
      </c>
      <c r="F13" s="6">
        <f t="shared" si="1"/>
        <v>641</v>
      </c>
      <c r="G13" s="6">
        <f t="shared" si="1"/>
        <v>488</v>
      </c>
      <c r="H13" s="6">
        <f t="shared" si="1"/>
        <v>668</v>
      </c>
      <c r="I13" s="10"/>
      <c r="L13" t="s">
        <v>132</v>
      </c>
      <c r="M13" s="52" t="s">
        <v>133</v>
      </c>
    </row>
    <row r="14" spans="2:17" ht="17.25" thickBot="1" x14ac:dyDescent="0.35">
      <c r="B14" s="57" t="s">
        <v>26</v>
      </c>
      <c r="C14" s="58"/>
      <c r="D14" s="9">
        <f>AVERAGE(D5:D12)</f>
        <v>65.75</v>
      </c>
      <c r="E14" s="9">
        <f t="shared" ref="E14:H14" si="2">AVERAGE(E5:E12)</f>
        <v>69.75</v>
      </c>
      <c r="F14" s="9">
        <f t="shared" si="2"/>
        <v>80.125</v>
      </c>
      <c r="G14" s="9">
        <f t="shared" si="2"/>
        <v>61</v>
      </c>
      <c r="H14" s="9">
        <f t="shared" si="2"/>
        <v>83.5</v>
      </c>
      <c r="I14" s="11"/>
      <c r="L14" t="s">
        <v>134</v>
      </c>
      <c r="M14" s="52" t="s">
        <v>135</v>
      </c>
    </row>
  </sheetData>
  <mergeCells count="11">
    <mergeCell ref="B14:C14"/>
    <mergeCell ref="B13:C13"/>
    <mergeCell ref="B10:B12"/>
    <mergeCell ref="B7:B9"/>
    <mergeCell ref="B5:B6"/>
    <mergeCell ref="N5:Q5"/>
    <mergeCell ref="B3:B4"/>
    <mergeCell ref="C3:C4"/>
    <mergeCell ref="D3:E3"/>
    <mergeCell ref="G3:H3"/>
    <mergeCell ref="I3:I4"/>
  </mergeCells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54"/>
  <sheetViews>
    <sheetView tabSelected="1" topLeftCell="D37" zoomScale="130" zoomScaleNormal="130" workbookViewId="0">
      <selection activeCell="K31" sqref="K31:K38"/>
    </sheetView>
  </sheetViews>
  <sheetFormatPr defaultRowHeight="16.5" x14ac:dyDescent="0.3"/>
  <cols>
    <col min="3" max="3" width="13.25" customWidth="1"/>
    <col min="9" max="9" width="21.75" customWidth="1"/>
    <col min="11" max="11" width="12.625" customWidth="1"/>
  </cols>
  <sheetData>
    <row r="1" spans="1:12" ht="20.25" x14ac:dyDescent="0.3">
      <c r="A1" s="69" t="s">
        <v>1</v>
      </c>
      <c r="B1" s="69"/>
      <c r="C1" s="69"/>
      <c r="D1" s="69"/>
      <c r="E1" s="69"/>
      <c r="F1" s="69"/>
    </row>
    <row r="2" spans="1:12" ht="17.25" thickBot="1" x14ac:dyDescent="0.35">
      <c r="K2" t="s">
        <v>138</v>
      </c>
      <c r="L2" t="s">
        <v>139</v>
      </c>
    </row>
    <row r="3" spans="1:12" x14ac:dyDescent="0.3">
      <c r="A3" s="17" t="s">
        <v>27</v>
      </c>
      <c r="B3" s="18" t="s">
        <v>28</v>
      </c>
      <c r="C3" s="18" t="s">
        <v>29</v>
      </c>
      <c r="D3" s="18" t="s">
        <v>30</v>
      </c>
      <c r="E3" s="18" t="s">
        <v>31</v>
      </c>
      <c r="F3" s="19" t="s">
        <v>32</v>
      </c>
      <c r="I3" s="54" t="s">
        <v>136</v>
      </c>
      <c r="K3">
        <v>0</v>
      </c>
      <c r="L3" t="s">
        <v>140</v>
      </c>
    </row>
    <row r="4" spans="1:12" x14ac:dyDescent="0.3">
      <c r="A4" s="70" t="s">
        <v>33</v>
      </c>
      <c r="B4" s="72" t="s">
        <v>34</v>
      </c>
      <c r="C4" s="12" t="s">
        <v>35</v>
      </c>
      <c r="D4" s="13">
        <v>45</v>
      </c>
      <c r="E4" s="14">
        <v>2</v>
      </c>
      <c r="F4" s="73">
        <v>90</v>
      </c>
      <c r="I4" s="55" t="s">
        <v>130</v>
      </c>
      <c r="K4" t="s">
        <v>141</v>
      </c>
      <c r="L4" t="s">
        <v>142</v>
      </c>
    </row>
    <row r="5" spans="1:12" x14ac:dyDescent="0.3">
      <c r="A5" s="70"/>
      <c r="B5" s="72"/>
      <c r="C5" s="12" t="s">
        <v>36</v>
      </c>
      <c r="D5" s="15">
        <v>40</v>
      </c>
      <c r="E5" s="14">
        <v>2</v>
      </c>
      <c r="F5" s="73"/>
      <c r="I5" s="55" t="s">
        <v>131</v>
      </c>
      <c r="K5" t="s">
        <v>143</v>
      </c>
      <c r="L5" t="s">
        <v>144</v>
      </c>
    </row>
    <row r="6" spans="1:12" x14ac:dyDescent="0.3">
      <c r="A6" s="70"/>
      <c r="B6" s="72"/>
      <c r="C6" s="12" t="s">
        <v>37</v>
      </c>
      <c r="D6" s="15">
        <v>40</v>
      </c>
      <c r="E6" s="14">
        <v>2</v>
      </c>
      <c r="F6" s="73"/>
      <c r="I6" s="55" t="s">
        <v>137</v>
      </c>
    </row>
    <row r="7" spans="1:12" x14ac:dyDescent="0.3">
      <c r="A7" s="70" t="s">
        <v>38</v>
      </c>
      <c r="B7" s="15" t="s">
        <v>39</v>
      </c>
      <c r="C7" s="16" t="s">
        <v>103</v>
      </c>
      <c r="D7" s="15">
        <v>3</v>
      </c>
      <c r="E7" s="14">
        <v>10</v>
      </c>
      <c r="F7" s="73">
        <v>30</v>
      </c>
      <c r="I7" s="56">
        <v>123456.789</v>
      </c>
      <c r="K7" s="77" t="s">
        <v>145</v>
      </c>
    </row>
    <row r="8" spans="1:12" x14ac:dyDescent="0.3">
      <c r="A8" s="70"/>
      <c r="B8" s="15" t="s">
        <v>40</v>
      </c>
      <c r="C8" s="13" t="s">
        <v>41</v>
      </c>
      <c r="D8" s="15">
        <v>10</v>
      </c>
      <c r="E8" s="14">
        <v>5</v>
      </c>
      <c r="F8" s="73"/>
      <c r="I8" s="56">
        <v>-123456.789</v>
      </c>
      <c r="K8" s="77"/>
    </row>
    <row r="9" spans="1:12" ht="17.25" thickBot="1" x14ac:dyDescent="0.35">
      <c r="A9" s="71"/>
      <c r="B9" s="20" t="s">
        <v>42</v>
      </c>
      <c r="C9" s="21" t="s">
        <v>43</v>
      </c>
      <c r="D9" s="20">
        <v>2</v>
      </c>
      <c r="E9" s="22">
        <v>35</v>
      </c>
      <c r="F9" s="74"/>
      <c r="I9" s="56">
        <v>123456.43210000001</v>
      </c>
      <c r="K9" s="77"/>
    </row>
    <row r="10" spans="1:12" x14ac:dyDescent="0.3">
      <c r="I10" s="56">
        <v>-123456.43210000001</v>
      </c>
      <c r="K10" s="77"/>
    </row>
    <row r="11" spans="1:12" x14ac:dyDescent="0.3">
      <c r="I11" s="56">
        <v>0.1234</v>
      </c>
      <c r="K11" s="77"/>
    </row>
    <row r="12" spans="1:12" x14ac:dyDescent="0.3">
      <c r="I12" s="56">
        <v>-0.1234</v>
      </c>
      <c r="K12" s="77"/>
    </row>
    <row r="13" spans="1:12" x14ac:dyDescent="0.3">
      <c r="I13" s="56">
        <v>0.78900000000000003</v>
      </c>
      <c r="K13" s="77"/>
    </row>
    <row r="14" spans="1:12" x14ac:dyDescent="0.3">
      <c r="I14" s="56">
        <v>-0.78900000000000003</v>
      </c>
      <c r="K14" s="77"/>
    </row>
    <row r="15" spans="1:12" x14ac:dyDescent="0.3">
      <c r="I15" s="78">
        <v>123456.789</v>
      </c>
      <c r="K15" s="77" t="s">
        <v>146</v>
      </c>
    </row>
    <row r="16" spans="1:12" x14ac:dyDescent="0.3">
      <c r="I16" s="78">
        <v>-123456.789</v>
      </c>
      <c r="K16" s="77"/>
    </row>
    <row r="17" spans="9:11" x14ac:dyDescent="0.3">
      <c r="I17" s="78">
        <v>123456.43210000001</v>
      </c>
      <c r="K17" s="77"/>
    </row>
    <row r="18" spans="9:11" x14ac:dyDescent="0.3">
      <c r="I18" s="78">
        <v>-123456.43210000001</v>
      </c>
      <c r="K18" s="77"/>
    </row>
    <row r="19" spans="9:11" x14ac:dyDescent="0.3">
      <c r="I19" s="78">
        <v>0.1234</v>
      </c>
      <c r="K19" s="77"/>
    </row>
    <row r="20" spans="9:11" x14ac:dyDescent="0.3">
      <c r="I20" s="78">
        <v>-0.1234</v>
      </c>
      <c r="K20" s="77"/>
    </row>
    <row r="21" spans="9:11" x14ac:dyDescent="0.3">
      <c r="I21" s="78">
        <v>0.78900000000000003</v>
      </c>
      <c r="K21" s="77"/>
    </row>
    <row r="22" spans="9:11" x14ac:dyDescent="0.3">
      <c r="I22" s="78">
        <v>-0.78900000000000003</v>
      </c>
      <c r="K22" s="77"/>
    </row>
    <row r="23" spans="9:11" x14ac:dyDescent="0.3">
      <c r="I23" s="79">
        <v>123456.789</v>
      </c>
      <c r="K23" s="77" t="s">
        <v>147</v>
      </c>
    </row>
    <row r="24" spans="9:11" x14ac:dyDescent="0.3">
      <c r="I24" s="79">
        <v>-123456.789</v>
      </c>
      <c r="K24" s="77"/>
    </row>
    <row r="25" spans="9:11" x14ac:dyDescent="0.3">
      <c r="I25" s="79">
        <v>123456.43210000001</v>
      </c>
      <c r="K25" s="77"/>
    </row>
    <row r="26" spans="9:11" x14ac:dyDescent="0.3">
      <c r="I26" s="79">
        <v>-123456.43210000001</v>
      </c>
      <c r="K26" s="77"/>
    </row>
    <row r="27" spans="9:11" x14ac:dyDescent="0.3">
      <c r="I27" s="79">
        <v>0.1234</v>
      </c>
      <c r="K27" s="77"/>
    </row>
    <row r="28" spans="9:11" x14ac:dyDescent="0.3">
      <c r="I28" s="79">
        <v>-0.1234</v>
      </c>
      <c r="K28" s="77"/>
    </row>
    <row r="29" spans="9:11" x14ac:dyDescent="0.3">
      <c r="I29" s="79">
        <v>0.78900000000000003</v>
      </c>
      <c r="K29" s="77"/>
    </row>
    <row r="30" spans="9:11" x14ac:dyDescent="0.3">
      <c r="I30" s="79">
        <v>-0.78900000000000003</v>
      </c>
      <c r="K30" s="77"/>
    </row>
    <row r="31" spans="9:11" x14ac:dyDescent="0.3">
      <c r="I31" s="80">
        <v>123456.789</v>
      </c>
      <c r="K31" s="77" t="s">
        <v>148</v>
      </c>
    </row>
    <row r="32" spans="9:11" x14ac:dyDescent="0.3">
      <c r="I32" s="80">
        <v>-123456.789</v>
      </c>
      <c r="K32" s="77"/>
    </row>
    <row r="33" spans="9:11" x14ac:dyDescent="0.3">
      <c r="I33" s="80">
        <v>123456.43210000001</v>
      </c>
      <c r="K33" s="77"/>
    </row>
    <row r="34" spans="9:11" x14ac:dyDescent="0.3">
      <c r="I34" s="80">
        <v>-123456.43210000001</v>
      </c>
      <c r="K34" s="77"/>
    </row>
    <row r="35" spans="9:11" x14ac:dyDescent="0.3">
      <c r="I35" s="80">
        <v>0.1234</v>
      </c>
      <c r="K35" s="77"/>
    </row>
    <row r="36" spans="9:11" x14ac:dyDescent="0.3">
      <c r="I36" s="80">
        <v>-0.1234</v>
      </c>
      <c r="K36" s="77"/>
    </row>
    <row r="37" spans="9:11" x14ac:dyDescent="0.3">
      <c r="I37" s="80">
        <v>0.78900000000000003</v>
      </c>
      <c r="K37" s="77"/>
    </row>
    <row r="38" spans="9:11" x14ac:dyDescent="0.3">
      <c r="I38" s="80">
        <v>-0.78900000000000003</v>
      </c>
      <c r="K38" s="77"/>
    </row>
    <row r="39" spans="9:11" x14ac:dyDescent="0.3">
      <c r="I39" s="1">
        <v>123456.789</v>
      </c>
    </row>
    <row r="40" spans="9:11" x14ac:dyDescent="0.3">
      <c r="I40" s="1">
        <v>-123456.789</v>
      </c>
    </row>
    <row r="41" spans="9:11" x14ac:dyDescent="0.3">
      <c r="I41" s="1">
        <v>123456.43210000001</v>
      </c>
    </row>
    <row r="42" spans="9:11" x14ac:dyDescent="0.3">
      <c r="I42" s="1">
        <v>-123456.43210000001</v>
      </c>
    </row>
    <row r="43" spans="9:11" x14ac:dyDescent="0.3">
      <c r="I43" s="1">
        <v>0.1234</v>
      </c>
    </row>
    <row r="44" spans="9:11" x14ac:dyDescent="0.3">
      <c r="I44" s="1">
        <v>-0.1234</v>
      </c>
    </row>
    <row r="45" spans="9:11" x14ac:dyDescent="0.3">
      <c r="I45" s="1">
        <v>0.78900000000000003</v>
      </c>
    </row>
    <row r="46" spans="9:11" x14ac:dyDescent="0.3">
      <c r="I46" s="1">
        <v>-0.78900000000000003</v>
      </c>
    </row>
    <row r="47" spans="9:11" x14ac:dyDescent="0.3">
      <c r="I47" s="1">
        <v>123456.789</v>
      </c>
    </row>
    <row r="48" spans="9:11" x14ac:dyDescent="0.3">
      <c r="I48" s="1">
        <v>-123456.789</v>
      </c>
    </row>
    <row r="49" spans="9:9" x14ac:dyDescent="0.3">
      <c r="I49" s="1">
        <v>123456.43210000001</v>
      </c>
    </row>
    <row r="50" spans="9:9" x14ac:dyDescent="0.3">
      <c r="I50" s="1">
        <v>-123456.43210000001</v>
      </c>
    </row>
    <row r="51" spans="9:9" x14ac:dyDescent="0.3">
      <c r="I51" s="1">
        <v>0.1234</v>
      </c>
    </row>
    <row r="52" spans="9:9" x14ac:dyDescent="0.3">
      <c r="I52" s="1">
        <v>-0.1234</v>
      </c>
    </row>
    <row r="53" spans="9:9" x14ac:dyDescent="0.3">
      <c r="I53" s="1">
        <v>0.78900000000000003</v>
      </c>
    </row>
    <row r="54" spans="9:9" x14ac:dyDescent="0.3">
      <c r="I54" s="1">
        <v>-0.78900000000000003</v>
      </c>
    </row>
  </sheetData>
  <mergeCells count="10">
    <mergeCell ref="K7:K14"/>
    <mergeCell ref="K15:K22"/>
    <mergeCell ref="K23:K30"/>
    <mergeCell ref="K31:K38"/>
    <mergeCell ref="A1:F1"/>
    <mergeCell ref="A4:A6"/>
    <mergeCell ref="A7:A9"/>
    <mergeCell ref="B4:B6"/>
    <mergeCell ref="F4:F6"/>
    <mergeCell ref="F7:F9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9"/>
  <sheetViews>
    <sheetView workbookViewId="0">
      <selection sqref="A1:F1"/>
    </sheetView>
  </sheetViews>
  <sheetFormatPr defaultRowHeight="16.5" x14ac:dyDescent="0.3"/>
  <cols>
    <col min="3" max="3" width="13.25" customWidth="1"/>
  </cols>
  <sheetData>
    <row r="1" spans="1:6" ht="20.25" x14ac:dyDescent="0.3">
      <c r="A1" s="69" t="s">
        <v>1</v>
      </c>
      <c r="B1" s="69"/>
      <c r="C1" s="69"/>
      <c r="D1" s="69"/>
      <c r="E1" s="69"/>
      <c r="F1" s="69"/>
    </row>
    <row r="2" spans="1:6" ht="17.25" thickBot="1" x14ac:dyDescent="0.35"/>
    <row r="3" spans="1:6" x14ac:dyDescent="0.3">
      <c r="A3" s="17" t="s">
        <v>27</v>
      </c>
      <c r="B3" s="18" t="s">
        <v>28</v>
      </c>
      <c r="C3" s="18" t="s">
        <v>29</v>
      </c>
      <c r="D3" s="18" t="s">
        <v>30</v>
      </c>
      <c r="E3" s="18" t="s">
        <v>31</v>
      </c>
      <c r="F3" s="19" t="s">
        <v>32</v>
      </c>
    </row>
    <row r="4" spans="1:6" x14ac:dyDescent="0.3">
      <c r="A4" s="70" t="s">
        <v>33</v>
      </c>
      <c r="B4" s="72" t="s">
        <v>34</v>
      </c>
      <c r="C4" s="12" t="s">
        <v>35</v>
      </c>
      <c r="D4" s="13">
        <v>45</v>
      </c>
      <c r="E4" s="14">
        <v>2</v>
      </c>
      <c r="F4" s="73">
        <v>90</v>
      </c>
    </row>
    <row r="5" spans="1:6" x14ac:dyDescent="0.3">
      <c r="A5" s="70"/>
      <c r="B5" s="72"/>
      <c r="C5" s="12" t="s">
        <v>36</v>
      </c>
      <c r="D5" s="15">
        <v>40</v>
      </c>
      <c r="E5" s="14">
        <v>2</v>
      </c>
      <c r="F5" s="73"/>
    </row>
    <row r="6" spans="1:6" x14ac:dyDescent="0.3">
      <c r="A6" s="70"/>
      <c r="B6" s="72"/>
      <c r="C6" s="12" t="s">
        <v>37</v>
      </c>
      <c r="D6" s="15">
        <v>40</v>
      </c>
      <c r="E6" s="14">
        <v>2</v>
      </c>
      <c r="F6" s="73"/>
    </row>
    <row r="7" spans="1:6" x14ac:dyDescent="0.3">
      <c r="A7" s="70" t="s">
        <v>38</v>
      </c>
      <c r="B7" s="15" t="s">
        <v>39</v>
      </c>
      <c r="C7" s="16" t="s">
        <v>103</v>
      </c>
      <c r="D7" s="15">
        <v>3</v>
      </c>
      <c r="E7" s="14">
        <v>10</v>
      </c>
      <c r="F7" s="73">
        <v>30</v>
      </c>
    </row>
    <row r="8" spans="1:6" x14ac:dyDescent="0.3">
      <c r="A8" s="70"/>
      <c r="B8" s="15" t="s">
        <v>40</v>
      </c>
      <c r="C8" s="13" t="s">
        <v>41</v>
      </c>
      <c r="D8" s="15">
        <v>10</v>
      </c>
      <c r="E8" s="14">
        <v>5</v>
      </c>
      <c r="F8" s="73"/>
    </row>
    <row r="9" spans="1:6" ht="17.25" thickBot="1" x14ac:dyDescent="0.35">
      <c r="A9" s="71"/>
      <c r="B9" s="20" t="s">
        <v>42</v>
      </c>
      <c r="C9" s="21" t="s">
        <v>43</v>
      </c>
      <c r="D9" s="20">
        <v>2</v>
      </c>
      <c r="E9" s="22">
        <v>35</v>
      </c>
      <c r="F9" s="74"/>
    </row>
  </sheetData>
  <mergeCells count="6">
    <mergeCell ref="A1:F1"/>
    <mergeCell ref="F7:F9"/>
    <mergeCell ref="F4:F6"/>
    <mergeCell ref="B4:B6"/>
    <mergeCell ref="A7:A9"/>
    <mergeCell ref="A4:A6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17"/>
  <sheetViews>
    <sheetView workbookViewId="0"/>
  </sheetViews>
  <sheetFormatPr defaultRowHeight="16.5" x14ac:dyDescent="0.3"/>
  <cols>
    <col min="2" max="2" width="16.25" bestFit="1" customWidth="1"/>
    <col min="5" max="5" width="11.625" bestFit="1" customWidth="1"/>
    <col min="9" max="9" width="1.625" customWidth="1"/>
    <col min="10" max="10" width="11.125" bestFit="1" customWidth="1"/>
  </cols>
  <sheetData>
    <row r="1" spans="1:10" x14ac:dyDescent="0.3">
      <c r="A1" t="s">
        <v>2</v>
      </c>
    </row>
    <row r="3" spans="1:10" x14ac:dyDescent="0.3">
      <c r="A3" t="s">
        <v>44</v>
      </c>
      <c r="B3" t="s">
        <v>4</v>
      </c>
      <c r="C3" t="s">
        <v>46</v>
      </c>
      <c r="D3" t="s">
        <v>47</v>
      </c>
      <c r="E3" t="s">
        <v>48</v>
      </c>
      <c r="F3" t="s">
        <v>49</v>
      </c>
      <c r="G3" t="s">
        <v>50</v>
      </c>
      <c r="H3" t="s">
        <v>51</v>
      </c>
      <c r="J3" t="s">
        <v>52</v>
      </c>
    </row>
    <row r="4" spans="1:10" x14ac:dyDescent="0.3">
      <c r="A4" t="s">
        <v>53</v>
      </c>
      <c r="B4" t="s">
        <v>54</v>
      </c>
      <c r="C4" t="s">
        <v>55</v>
      </c>
      <c r="D4" t="s">
        <v>56</v>
      </c>
      <c r="E4" s="1" t="s">
        <v>117</v>
      </c>
      <c r="F4">
        <v>5000</v>
      </c>
      <c r="G4">
        <v>95</v>
      </c>
      <c r="H4" t="s">
        <v>57</v>
      </c>
      <c r="J4">
        <v>5</v>
      </c>
    </row>
    <row r="5" spans="1:10" x14ac:dyDescent="0.3">
      <c r="B5" t="s">
        <v>58</v>
      </c>
      <c r="C5" t="s">
        <v>59</v>
      </c>
      <c r="D5" t="s">
        <v>60</v>
      </c>
      <c r="E5" s="1" t="s">
        <v>120</v>
      </c>
      <c r="F5">
        <v>12500</v>
      </c>
      <c r="G5">
        <v>45</v>
      </c>
      <c r="H5" t="s">
        <v>61</v>
      </c>
      <c r="J5">
        <v>3</v>
      </c>
    </row>
    <row r="6" spans="1:10" x14ac:dyDescent="0.3">
      <c r="B6" t="s">
        <v>62</v>
      </c>
      <c r="C6" t="s">
        <v>63</v>
      </c>
      <c r="D6" t="s">
        <v>64</v>
      </c>
      <c r="E6" s="1" t="s">
        <v>120</v>
      </c>
      <c r="F6">
        <v>15000</v>
      </c>
      <c r="G6">
        <v>86</v>
      </c>
      <c r="H6" t="s">
        <v>65</v>
      </c>
      <c r="J6">
        <v>10</v>
      </c>
    </row>
    <row r="7" spans="1:10" x14ac:dyDescent="0.3">
      <c r="A7" t="s">
        <v>66</v>
      </c>
      <c r="B7" t="s">
        <v>67</v>
      </c>
      <c r="C7" t="s">
        <v>68</v>
      </c>
      <c r="D7" t="s">
        <v>69</v>
      </c>
      <c r="E7" s="1" t="s">
        <v>118</v>
      </c>
      <c r="F7">
        <v>10000</v>
      </c>
      <c r="G7">
        <v>12</v>
      </c>
      <c r="H7" t="s">
        <v>61</v>
      </c>
      <c r="J7">
        <v>15</v>
      </c>
    </row>
    <row r="8" spans="1:10" x14ac:dyDescent="0.3">
      <c r="B8" t="s">
        <v>70</v>
      </c>
      <c r="C8" t="s">
        <v>71</v>
      </c>
      <c r="D8" t="s">
        <v>72</v>
      </c>
      <c r="E8" s="1" t="s">
        <v>121</v>
      </c>
      <c r="F8">
        <v>6500</v>
      </c>
      <c r="G8">
        <v>57</v>
      </c>
      <c r="H8" t="s">
        <v>65</v>
      </c>
      <c r="J8">
        <v>14</v>
      </c>
    </row>
    <row r="9" spans="1:10" x14ac:dyDescent="0.3">
      <c r="B9" t="s">
        <v>74</v>
      </c>
      <c r="C9" t="s">
        <v>75</v>
      </c>
      <c r="D9" t="s">
        <v>76</v>
      </c>
      <c r="E9" s="1" t="s">
        <v>121</v>
      </c>
      <c r="F9">
        <v>8500</v>
      </c>
      <c r="G9">
        <v>68</v>
      </c>
      <c r="H9" t="s">
        <v>57</v>
      </c>
      <c r="J9">
        <v>7</v>
      </c>
    </row>
    <row r="10" spans="1:10" x14ac:dyDescent="0.3">
      <c r="A10" t="s">
        <v>77</v>
      </c>
      <c r="B10" t="s">
        <v>78</v>
      </c>
      <c r="C10" t="s">
        <v>79</v>
      </c>
      <c r="D10" t="s">
        <v>80</v>
      </c>
      <c r="E10" s="1" t="s">
        <v>117</v>
      </c>
      <c r="F10">
        <v>6500</v>
      </c>
      <c r="G10">
        <v>33</v>
      </c>
      <c r="H10" t="s">
        <v>57</v>
      </c>
      <c r="J10">
        <v>5</v>
      </c>
    </row>
    <row r="11" spans="1:10" x14ac:dyDescent="0.3">
      <c r="B11" t="s">
        <v>82</v>
      </c>
      <c r="C11" t="s">
        <v>83</v>
      </c>
      <c r="D11" t="s">
        <v>84</v>
      </c>
      <c r="E11" s="1" t="s">
        <v>122</v>
      </c>
      <c r="F11">
        <v>13500</v>
      </c>
      <c r="G11">
        <v>84</v>
      </c>
      <c r="H11" t="s">
        <v>61</v>
      </c>
      <c r="J11">
        <v>3</v>
      </c>
    </row>
    <row r="12" spans="1:10" x14ac:dyDescent="0.3">
      <c r="B12" t="s">
        <v>86</v>
      </c>
      <c r="C12" t="s">
        <v>87</v>
      </c>
      <c r="D12" t="s">
        <v>88</v>
      </c>
      <c r="E12" s="1" t="s">
        <v>118</v>
      </c>
      <c r="F12">
        <v>7000</v>
      </c>
      <c r="G12">
        <v>51</v>
      </c>
      <c r="H12" t="s">
        <v>65</v>
      </c>
      <c r="J12">
        <v>9</v>
      </c>
    </row>
    <row r="13" spans="1:10" x14ac:dyDescent="0.3">
      <c r="A13" t="s">
        <v>90</v>
      </c>
      <c r="B13" t="s">
        <v>91</v>
      </c>
      <c r="C13" t="s">
        <v>92</v>
      </c>
      <c r="D13" t="s">
        <v>76</v>
      </c>
      <c r="E13" s="1" t="s">
        <v>119</v>
      </c>
      <c r="F13">
        <v>15000</v>
      </c>
      <c r="G13">
        <v>62</v>
      </c>
      <c r="H13" t="s">
        <v>94</v>
      </c>
      <c r="J13">
        <v>4</v>
      </c>
    </row>
    <row r="14" spans="1:10" x14ac:dyDescent="0.3">
      <c r="B14" t="s">
        <v>95</v>
      </c>
      <c r="C14" t="s">
        <v>96</v>
      </c>
      <c r="D14" t="s">
        <v>64</v>
      </c>
      <c r="E14" s="1" t="s">
        <v>119</v>
      </c>
      <c r="F14">
        <v>18500</v>
      </c>
      <c r="G14">
        <v>83</v>
      </c>
      <c r="H14" t="s">
        <v>94</v>
      </c>
      <c r="J14">
        <v>10</v>
      </c>
    </row>
    <row r="15" spans="1:10" x14ac:dyDescent="0.3">
      <c r="B15" t="s">
        <v>99</v>
      </c>
      <c r="C15" t="s">
        <v>100</v>
      </c>
      <c r="D15" t="s">
        <v>101</v>
      </c>
      <c r="E15" s="1" t="s">
        <v>119</v>
      </c>
      <c r="F15">
        <v>16000</v>
      </c>
      <c r="G15">
        <v>44</v>
      </c>
      <c r="H15" t="s">
        <v>94</v>
      </c>
      <c r="J15">
        <v>21</v>
      </c>
    </row>
    <row r="17" spans="4:5" x14ac:dyDescent="0.3">
      <c r="D17" t="s">
        <v>102</v>
      </c>
      <c r="E17" s="2">
        <v>45657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17"/>
  <sheetViews>
    <sheetView workbookViewId="0">
      <selection sqref="A1:H1"/>
    </sheetView>
  </sheetViews>
  <sheetFormatPr defaultRowHeight="16.5" x14ac:dyDescent="0.3"/>
  <cols>
    <col min="2" max="2" width="16.25" bestFit="1" customWidth="1"/>
    <col min="5" max="5" width="16.375" bestFit="1" customWidth="1"/>
    <col min="9" max="9" width="1.625" customWidth="1"/>
    <col min="10" max="10" width="11.125" bestFit="1" customWidth="1"/>
  </cols>
  <sheetData>
    <row r="1" spans="1:10" ht="30" customHeight="1" thickBot="1" x14ac:dyDescent="0.35">
      <c r="A1" s="75" t="s">
        <v>115</v>
      </c>
      <c r="B1" s="75"/>
      <c r="C1" s="75"/>
      <c r="D1" s="75"/>
      <c r="E1" s="75"/>
      <c r="F1" s="75"/>
      <c r="G1" s="75"/>
      <c r="H1" s="75"/>
    </row>
    <row r="2" spans="1:10" ht="17.25" thickTop="1" x14ac:dyDescent="0.3"/>
    <row r="3" spans="1:10" x14ac:dyDescent="0.3">
      <c r="A3" s="24" t="s">
        <v>44</v>
      </c>
      <c r="B3" s="24" t="s">
        <v>45</v>
      </c>
      <c r="C3" s="24" t="s">
        <v>46</v>
      </c>
      <c r="D3" s="24" t="s">
        <v>47</v>
      </c>
      <c r="E3" s="24" t="s">
        <v>48</v>
      </c>
      <c r="F3" s="24" t="s">
        <v>49</v>
      </c>
      <c r="G3" s="24" t="s">
        <v>50</v>
      </c>
      <c r="H3" s="24" t="s">
        <v>51</v>
      </c>
      <c r="J3" t="s">
        <v>52</v>
      </c>
    </row>
    <row r="4" spans="1:10" x14ac:dyDescent="0.3">
      <c r="A4" s="76" t="s">
        <v>53</v>
      </c>
      <c r="B4" s="25" t="s">
        <v>54</v>
      </c>
      <c r="C4" s="25" t="s">
        <v>116</v>
      </c>
      <c r="D4" s="25" t="s">
        <v>56</v>
      </c>
      <c r="E4" s="26" t="s">
        <v>117</v>
      </c>
      <c r="F4" s="27">
        <v>5000</v>
      </c>
      <c r="G4" s="25">
        <v>100</v>
      </c>
      <c r="H4" s="25" t="s">
        <v>57</v>
      </c>
      <c r="J4">
        <v>5</v>
      </c>
    </row>
    <row r="5" spans="1:10" x14ac:dyDescent="0.3">
      <c r="A5" s="76"/>
      <c r="B5" s="25" t="s">
        <v>58</v>
      </c>
      <c r="C5" s="25" t="s">
        <v>104</v>
      </c>
      <c r="D5" s="25" t="s">
        <v>60</v>
      </c>
      <c r="E5" s="26" t="s">
        <v>120</v>
      </c>
      <c r="F5" s="27">
        <v>12500</v>
      </c>
      <c r="G5" s="25">
        <v>48</v>
      </c>
      <c r="H5" s="25" t="s">
        <v>61</v>
      </c>
      <c r="J5">
        <v>3</v>
      </c>
    </row>
    <row r="6" spans="1:10" x14ac:dyDescent="0.3">
      <c r="A6" s="76"/>
      <c r="B6" s="25" t="s">
        <v>62</v>
      </c>
      <c r="C6" s="25" t="s">
        <v>105</v>
      </c>
      <c r="D6" s="25" t="s">
        <v>64</v>
      </c>
      <c r="E6" s="26" t="s">
        <v>120</v>
      </c>
      <c r="F6" s="27">
        <v>15000</v>
      </c>
      <c r="G6" s="25">
        <v>96</v>
      </c>
      <c r="H6" s="25" t="s">
        <v>65</v>
      </c>
      <c r="J6">
        <v>10</v>
      </c>
    </row>
    <row r="7" spans="1:10" x14ac:dyDescent="0.3">
      <c r="A7" s="76" t="s">
        <v>66</v>
      </c>
      <c r="B7" s="25" t="s">
        <v>67</v>
      </c>
      <c r="C7" s="25" t="s">
        <v>106</v>
      </c>
      <c r="D7" s="25" t="s">
        <v>69</v>
      </c>
      <c r="E7" s="26" t="s">
        <v>118</v>
      </c>
      <c r="F7" s="27">
        <v>10000</v>
      </c>
      <c r="G7" s="25">
        <v>27</v>
      </c>
      <c r="H7" s="25" t="s">
        <v>61</v>
      </c>
      <c r="J7">
        <v>15</v>
      </c>
    </row>
    <row r="8" spans="1:10" x14ac:dyDescent="0.3">
      <c r="A8" s="76"/>
      <c r="B8" s="25" t="s">
        <v>70</v>
      </c>
      <c r="C8" s="25" t="s">
        <v>107</v>
      </c>
      <c r="D8" s="25" t="s">
        <v>72</v>
      </c>
      <c r="E8" s="26" t="s">
        <v>121</v>
      </c>
      <c r="F8" s="27">
        <v>6500</v>
      </c>
      <c r="G8" s="25">
        <v>71</v>
      </c>
      <c r="H8" s="25" t="s">
        <v>73</v>
      </c>
      <c r="J8">
        <v>14</v>
      </c>
    </row>
    <row r="9" spans="1:10" x14ac:dyDescent="0.3">
      <c r="A9" s="76"/>
      <c r="B9" s="25" t="s">
        <v>74</v>
      </c>
      <c r="C9" s="25" t="s">
        <v>108</v>
      </c>
      <c r="D9" s="25" t="s">
        <v>76</v>
      </c>
      <c r="E9" s="26" t="s">
        <v>121</v>
      </c>
      <c r="F9" s="27">
        <v>8500</v>
      </c>
      <c r="G9" s="25">
        <v>75</v>
      </c>
      <c r="H9" s="25" t="s">
        <v>57</v>
      </c>
      <c r="J9">
        <v>7</v>
      </c>
    </row>
    <row r="10" spans="1:10" x14ac:dyDescent="0.3">
      <c r="A10" s="76" t="s">
        <v>77</v>
      </c>
      <c r="B10" s="25" t="s">
        <v>78</v>
      </c>
      <c r="C10" s="25" t="s">
        <v>109</v>
      </c>
      <c r="D10" s="25" t="s">
        <v>80</v>
      </c>
      <c r="E10" s="26" t="s">
        <v>117</v>
      </c>
      <c r="F10" s="27">
        <v>6500</v>
      </c>
      <c r="G10" s="25">
        <v>38</v>
      </c>
      <c r="H10" s="25" t="s">
        <v>81</v>
      </c>
      <c r="J10">
        <v>5</v>
      </c>
    </row>
    <row r="11" spans="1:10" x14ac:dyDescent="0.3">
      <c r="A11" s="76"/>
      <c r="B11" s="25" t="s">
        <v>82</v>
      </c>
      <c r="C11" s="25" t="s">
        <v>110</v>
      </c>
      <c r="D11" s="25" t="s">
        <v>84</v>
      </c>
      <c r="E11" s="26" t="s">
        <v>122</v>
      </c>
      <c r="F11" s="27">
        <v>13500</v>
      </c>
      <c r="G11" s="25">
        <v>87</v>
      </c>
      <c r="H11" s="25" t="s">
        <v>85</v>
      </c>
      <c r="J11">
        <v>3</v>
      </c>
    </row>
    <row r="12" spans="1:10" x14ac:dyDescent="0.3">
      <c r="A12" s="76"/>
      <c r="B12" s="25" t="s">
        <v>86</v>
      </c>
      <c r="C12" s="25" t="s">
        <v>111</v>
      </c>
      <c r="D12" s="25" t="s">
        <v>88</v>
      </c>
      <c r="E12" s="26" t="s">
        <v>118</v>
      </c>
      <c r="F12" s="27">
        <v>7000</v>
      </c>
      <c r="G12" s="25">
        <v>60</v>
      </c>
      <c r="H12" s="25" t="s">
        <v>89</v>
      </c>
      <c r="J12">
        <v>9</v>
      </c>
    </row>
    <row r="13" spans="1:10" x14ac:dyDescent="0.3">
      <c r="A13" s="76" t="s">
        <v>90</v>
      </c>
      <c r="B13" s="25" t="s">
        <v>91</v>
      </c>
      <c r="C13" s="25" t="s">
        <v>112</v>
      </c>
      <c r="D13" s="25" t="s">
        <v>93</v>
      </c>
      <c r="E13" s="26" t="s">
        <v>119</v>
      </c>
      <c r="F13" s="27">
        <v>15000</v>
      </c>
      <c r="G13" s="25">
        <v>66</v>
      </c>
      <c r="H13" s="25" t="s">
        <v>94</v>
      </c>
      <c r="J13">
        <v>4</v>
      </c>
    </row>
    <row r="14" spans="1:10" x14ac:dyDescent="0.3">
      <c r="A14" s="76"/>
      <c r="B14" s="25" t="s">
        <v>95</v>
      </c>
      <c r="C14" s="25" t="s">
        <v>113</v>
      </c>
      <c r="D14" s="25" t="s">
        <v>97</v>
      </c>
      <c r="E14" s="26" t="s">
        <v>119</v>
      </c>
      <c r="F14" s="27">
        <v>18500</v>
      </c>
      <c r="G14" s="25">
        <v>93</v>
      </c>
      <c r="H14" s="25" t="s">
        <v>98</v>
      </c>
      <c r="J14">
        <v>10</v>
      </c>
    </row>
    <row r="15" spans="1:10" x14ac:dyDescent="0.3">
      <c r="A15" s="76"/>
      <c r="B15" s="25" t="s">
        <v>99</v>
      </c>
      <c r="C15" s="25" t="s">
        <v>114</v>
      </c>
      <c r="D15" s="25" t="s">
        <v>101</v>
      </c>
      <c r="E15" s="26" t="s">
        <v>119</v>
      </c>
      <c r="F15" s="27">
        <v>16000</v>
      </c>
      <c r="G15" s="25">
        <v>65</v>
      </c>
      <c r="H15" s="25" t="s">
        <v>94</v>
      </c>
      <c r="J15">
        <v>21</v>
      </c>
    </row>
    <row r="17" spans="4:5" x14ac:dyDescent="0.3">
      <c r="D17" t="s">
        <v>102</v>
      </c>
      <c r="E17" s="23">
        <v>45657</v>
      </c>
    </row>
  </sheetData>
  <mergeCells count="5">
    <mergeCell ref="A1:H1"/>
    <mergeCell ref="A13:A15"/>
    <mergeCell ref="A10:A12"/>
    <mergeCell ref="A7:A9"/>
    <mergeCell ref="A4:A6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4</vt:i4>
      </vt:variant>
    </vt:vector>
  </HeadingPairs>
  <TitlesOfParts>
    <vt:vector size="10" baseType="lpstr">
      <vt:lpstr>기본작업2-1</vt:lpstr>
      <vt:lpstr>기본작업2-1(결과)</vt:lpstr>
      <vt:lpstr>기본작업2-2</vt:lpstr>
      <vt:lpstr>기본작업2-2(결과)</vt:lpstr>
      <vt:lpstr>기본작업2-3</vt:lpstr>
      <vt:lpstr>기본작업2-3(결과)</vt:lpstr>
      <vt:lpstr>배점</vt:lpstr>
      <vt:lpstr>배점1</vt:lpstr>
      <vt:lpstr>제품명</vt:lpstr>
      <vt:lpstr>제품명1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cp:lastPrinted>2026-08-31T11:45:08Z</cp:lastPrinted>
  <dcterms:created xsi:type="dcterms:W3CDTF">2020-04-05T04:10:18Z</dcterms:created>
  <dcterms:modified xsi:type="dcterms:W3CDTF">2026-09-01T10:13:21Z</dcterms:modified>
</cp:coreProperties>
</file>