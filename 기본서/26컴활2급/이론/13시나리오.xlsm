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DC9A5187-A062-43A9-9C2D-7477FC9E368E}" xr6:coauthVersionLast="47" xr6:coauthVersionMax="47" xr10:uidLastSave="{00000000-0000-0000-0000-000000000000}"/>
  <bookViews>
    <workbookView xWindow="22932" yWindow="-108" windowWidth="23256" windowHeight="12576" tabRatio="745" activeTab="6" xr2:uid="{00000000-000D-0000-FFFF-FFFF00000000}"/>
  </bookViews>
  <sheets>
    <sheet name="시나리오 요약" sheetId="12" r:id="rId1"/>
    <sheet name="시나리오1" sheetId="4" r:id="rId2"/>
    <sheet name="시나리오1(결과)" sheetId="7" r:id="rId3"/>
    <sheet name="시나리오 요약 2" sheetId="13" r:id="rId4"/>
    <sheet name="시나리오2" sheetId="5" r:id="rId5"/>
    <sheet name="시나리오2(결과)" sheetId="11" r:id="rId6"/>
    <sheet name="시나리오 요약 3" sheetId="14" r:id="rId7"/>
    <sheet name="시나리오3" sheetId="6" r:id="rId8"/>
    <sheet name="시나리오3(결과)" sheetId="9" r:id="rId9"/>
  </sheets>
  <definedNames>
    <definedName name="강사료">시나리오3!$B$14</definedName>
    <definedName name="과목당수강료">시나리오3!$A$14</definedName>
    <definedName name="마진율">시나리오2!$A$13</definedName>
    <definedName name="세율">시나리오1!$B$18</definedName>
    <definedName name="소계1월">시나리오1!$G$7</definedName>
    <definedName name="소계2월">시나리오1!$G$12</definedName>
    <definedName name="소계3월">시나리오1!$G$16</definedName>
    <definedName name="이익금액합계">시나리오2!$F$10</definedName>
    <definedName name="이익합계">시나리오3!$H$10</definedName>
    <definedName name="판매금액합계">시나리오2!$E$10</definedName>
    <definedName name="할인율">시나리오2!$B$13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0" i="6" l="1"/>
  <c r="F10" i="6" s="1"/>
  <c r="C10" i="6"/>
  <c r="B10" i="6"/>
  <c r="F9" i="6"/>
  <c r="D9" i="6"/>
  <c r="F8" i="6"/>
  <c r="D8" i="6"/>
  <c r="F7" i="6"/>
  <c r="D7" i="6"/>
  <c r="F6" i="6"/>
  <c r="D6" i="6"/>
  <c r="F5" i="6"/>
  <c r="D5" i="6"/>
  <c r="F4" i="6"/>
  <c r="D4" i="6"/>
  <c r="D10" i="5"/>
  <c r="C9" i="5"/>
  <c r="E9" i="5" s="1"/>
  <c r="F9" i="5" s="1"/>
  <c r="C8" i="5"/>
  <c r="E8" i="5" s="1"/>
  <c r="F8" i="5" s="1"/>
  <c r="C7" i="5"/>
  <c r="E7" i="5" s="1"/>
  <c r="F7" i="5" s="1"/>
  <c r="C6" i="5"/>
  <c r="E6" i="5" s="1"/>
  <c r="F6" i="5" s="1"/>
  <c r="C5" i="5"/>
  <c r="E5" i="5" s="1"/>
  <c r="F5" i="5" s="1"/>
  <c r="C4" i="5"/>
  <c r="E4" i="5" s="1"/>
  <c r="F4" i="5" s="1"/>
  <c r="F16" i="4"/>
  <c r="E16" i="4"/>
  <c r="G15" i="4"/>
  <c r="G14" i="4"/>
  <c r="G13" i="4"/>
  <c r="F12" i="4"/>
  <c r="E12" i="4"/>
  <c r="G11" i="4"/>
  <c r="G10" i="4"/>
  <c r="G9" i="4"/>
  <c r="G8" i="4"/>
  <c r="F7" i="4"/>
  <c r="E7" i="4"/>
  <c r="G6" i="4"/>
  <c r="G5" i="4"/>
  <c r="G4" i="4"/>
  <c r="G7" i="4" s="1"/>
  <c r="H8" i="6" l="1"/>
  <c r="H7" i="6"/>
  <c r="H6" i="6"/>
  <c r="H4" i="6"/>
  <c r="H5" i="6"/>
  <c r="G12" i="4"/>
  <c r="G16" i="4"/>
  <c r="H9" i="6"/>
  <c r="H10" i="6" s="1"/>
  <c r="D10" i="6"/>
  <c r="E10" i="5"/>
  <c r="F10" i="5"/>
</calcChain>
</file>

<file path=xl/sharedStrings.xml><?xml version="1.0" encoding="utf-8"?>
<sst xmlns="http://schemas.openxmlformats.org/spreadsheetml/2006/main" count="138" uniqueCount="71">
  <si>
    <t>월별 주문 내역서</t>
    <phoneticPr fontId="2" type="noConversion"/>
  </si>
  <si>
    <t>월</t>
    <phoneticPr fontId="2" type="noConversion"/>
  </si>
  <si>
    <t>송장번호</t>
    <phoneticPr fontId="2" type="noConversion"/>
  </si>
  <si>
    <t>주문일자</t>
    <phoneticPr fontId="2" type="noConversion"/>
  </si>
  <si>
    <t>배달일자</t>
    <phoneticPr fontId="2" type="noConversion"/>
  </si>
  <si>
    <t>판매액</t>
    <phoneticPr fontId="2" type="noConversion"/>
  </si>
  <si>
    <t>공급가</t>
    <phoneticPr fontId="2" type="noConversion"/>
  </si>
  <si>
    <t>세금</t>
    <phoneticPr fontId="2" type="noConversion"/>
  </si>
  <si>
    <t>1월</t>
    <phoneticPr fontId="2" type="noConversion"/>
  </si>
  <si>
    <t>소계</t>
    <phoneticPr fontId="2" type="noConversion"/>
  </si>
  <si>
    <t>2월</t>
    <phoneticPr fontId="2" type="noConversion"/>
  </si>
  <si>
    <t>3월</t>
    <phoneticPr fontId="2" type="noConversion"/>
  </si>
  <si>
    <t>세율</t>
    <phoneticPr fontId="2" type="noConversion"/>
  </si>
  <si>
    <t>KS 마트 특별기획전 원피스 판매 현황</t>
    <phoneticPr fontId="5" type="noConversion"/>
  </si>
  <si>
    <t>매장</t>
    <phoneticPr fontId="5" type="noConversion"/>
  </si>
  <si>
    <t>매입원가</t>
    <phoneticPr fontId="5" type="noConversion"/>
  </si>
  <si>
    <t>판매가</t>
    <phoneticPr fontId="5" type="noConversion"/>
  </si>
  <si>
    <t>판매수량</t>
    <phoneticPr fontId="5" type="noConversion"/>
  </si>
  <si>
    <t>판매금액</t>
    <phoneticPr fontId="5" type="noConversion"/>
  </si>
  <si>
    <t>이익금액</t>
    <phoneticPr fontId="5" type="noConversion"/>
  </si>
  <si>
    <t>아이잠</t>
    <phoneticPr fontId="5" type="noConversion"/>
  </si>
  <si>
    <t>승주군</t>
    <phoneticPr fontId="5" type="noConversion"/>
  </si>
  <si>
    <t>데쿠</t>
    <phoneticPr fontId="5" type="noConversion"/>
  </si>
  <si>
    <t>머니엄</t>
    <phoneticPr fontId="5" type="noConversion"/>
  </si>
  <si>
    <t>카스</t>
    <phoneticPr fontId="5" type="noConversion"/>
  </si>
  <si>
    <t>오보제</t>
    <phoneticPr fontId="5" type="noConversion"/>
  </si>
  <si>
    <t>합 계</t>
    <phoneticPr fontId="5" type="noConversion"/>
  </si>
  <si>
    <t>마진율</t>
    <phoneticPr fontId="5" type="noConversion"/>
  </si>
  <si>
    <t>할인율</t>
    <phoneticPr fontId="5" type="noConversion"/>
  </si>
  <si>
    <t>8월 학원 운영 현황</t>
    <phoneticPr fontId="5" type="noConversion"/>
  </si>
  <si>
    <t>분원</t>
    <phoneticPr fontId="5" type="noConversion"/>
  </si>
  <si>
    <t>전체학생수</t>
    <phoneticPr fontId="5" type="noConversion"/>
  </si>
  <si>
    <t>미납학생수</t>
    <phoneticPr fontId="5" type="noConversion"/>
  </si>
  <si>
    <t>입금액</t>
    <phoneticPr fontId="5" type="noConversion"/>
  </si>
  <si>
    <t>강사수</t>
    <phoneticPr fontId="5" type="noConversion"/>
  </si>
  <si>
    <t>강사료</t>
    <phoneticPr fontId="5" type="noConversion"/>
  </si>
  <si>
    <t>기타잡비</t>
    <phoneticPr fontId="5" type="noConversion"/>
  </si>
  <si>
    <t>이익</t>
    <phoneticPr fontId="5" type="noConversion"/>
  </si>
  <si>
    <t>서초</t>
    <phoneticPr fontId="5" type="noConversion"/>
  </si>
  <si>
    <t>수원</t>
    <phoneticPr fontId="5" type="noConversion"/>
  </si>
  <si>
    <t>분당</t>
    <phoneticPr fontId="5" type="noConversion"/>
  </si>
  <si>
    <t>수지</t>
    <phoneticPr fontId="5" type="noConversion"/>
  </si>
  <si>
    <t>강남</t>
    <phoneticPr fontId="5" type="noConversion"/>
  </si>
  <si>
    <t>안산</t>
    <phoneticPr fontId="5" type="noConversion"/>
  </si>
  <si>
    <t>합계</t>
    <phoneticPr fontId="5" type="noConversion"/>
  </si>
  <si>
    <r>
      <t>과목당</t>
    </r>
    <r>
      <rPr>
        <sz val="11"/>
        <color theme="1"/>
        <rFont val="맑은 고딕"/>
        <family val="3"/>
        <charset val="129"/>
        <scheme val="minor"/>
      </rPr>
      <t>수강료</t>
    </r>
    <phoneticPr fontId="5" type="noConversion"/>
  </si>
  <si>
    <t>세율</t>
  </si>
  <si>
    <t>소계1월</t>
  </si>
  <si>
    <t>소계2월</t>
  </si>
  <si>
    <t>소계3월</t>
  </si>
  <si>
    <t>세율인상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</si>
  <si>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</si>
  <si>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</si>
  <si>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</si>
  <si>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</si>
  <si>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</si>
  <si>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</si>
  <si>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</si>
  <si>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</si>
  <si>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마진율</t>
  </si>
  <si>
    <t>할인율</t>
  </si>
  <si>
    <t>판매금액합계</t>
  </si>
  <si>
    <t>이익금액합계</t>
  </si>
  <si>
    <t>이익증가</t>
  </si>
  <si>
    <t>이익감소</t>
  </si>
  <si>
    <t>과목당수강료</t>
  </si>
  <si>
    <t>강사료</t>
  </si>
  <si>
    <t>이익합계</t>
  </si>
  <si>
    <t>10%인상</t>
  </si>
  <si>
    <t>20%인상</t>
  </si>
  <si>
    <t>만든 사람 mbc 날짜 2026-09-09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</si>
</sst>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/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center"/>
    </xf>
    <xf numFmtId="41" fontId="6" fillId="0" borderId="1" xfId="1" applyFont="1" applyBorder="1" applyAlignment="1"/>
    <xf numFmtId="41" fontId="6" fillId="0" borderId="1" xfId="1" applyFont="1" applyBorder="1" applyAlignment="1">
      <alignment horizontal="center"/>
    </xf>
    <xf numFmtId="41" fontId="6" fillId="0" borderId="1" xfId="0" applyNumberFormat="1" applyFont="1" applyBorder="1" applyAlignment="1">
      <alignment horizontal="center" vertical="center"/>
    </xf>
    <xf numFmtId="41" fontId="6" fillId="0" borderId="0" xfId="1" applyFont="1" applyBorder="1" applyAlignment="1"/>
    <xf numFmtId="22" fontId="6" fillId="0" borderId="0" xfId="0" applyNumberFormat="1" applyFont="1">
      <alignment vertical="center"/>
    </xf>
    <xf numFmtId="9" fontId="6" fillId="0" borderId="1" xfId="0" applyNumberFormat="1" applyFont="1" applyBorder="1" applyAlignment="1">
      <alignment horizontal="center"/>
    </xf>
    <xf numFmtId="9" fontId="6" fillId="0" borderId="1" xfId="1" applyNumberFormat="1" applyFont="1" applyBorder="1" applyAlignment="1">
      <alignment horizontal="center"/>
    </xf>
    <xf numFmtId="0" fontId="9" fillId="0" borderId="0" xfId="2" applyFont="1"/>
    <xf numFmtId="14" fontId="9" fillId="0" borderId="0" xfId="2" applyNumberFormat="1" applyFont="1"/>
    <xf numFmtId="0" fontId="9" fillId="0" borderId="1" xfId="2" applyFont="1" applyBorder="1" applyAlignment="1">
      <alignment horizontal="center"/>
    </xf>
    <xf numFmtId="0" fontId="9" fillId="0" borderId="1" xfId="2" applyFont="1" applyFill="1" applyBorder="1" applyAlignment="1">
      <alignment horizontal="center"/>
    </xf>
    <xf numFmtId="41" fontId="9" fillId="0" borderId="1" xfId="1" applyFont="1" applyBorder="1" applyAlignment="1"/>
    <xf numFmtId="41" fontId="9" fillId="0" borderId="1" xfId="1" applyFont="1" applyFill="1" applyBorder="1" applyAlignment="1"/>
    <xf numFmtId="41" fontId="6" fillId="0" borderId="1" xfId="0" applyNumberFormat="1" applyFont="1" applyBorder="1">
      <alignment vertical="center"/>
    </xf>
    <xf numFmtId="41" fontId="9" fillId="0" borderId="0" xfId="1" applyFont="1" applyBorder="1" applyAlignment="1"/>
    <xf numFmtId="0" fontId="9" fillId="0" borderId="0" xfId="2" applyFont="1" applyFill="1" applyBorder="1" applyAlignment="1">
      <alignment horizontal="left"/>
    </xf>
    <xf numFmtId="22" fontId="9" fillId="0" borderId="0" xfId="2" applyNumberFormat="1" applyFont="1"/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right" vertical="center"/>
    </xf>
    <xf numFmtId="0" fontId="10" fillId="2" borderId="7" xfId="0" applyFont="1" applyFill="1" applyBorder="1" applyAlignment="1">
      <alignment horizontal="right" vertical="center"/>
    </xf>
    <xf numFmtId="9" fontId="0" fillId="4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  <xf numFmtId="41" fontId="0" fillId="4" borderId="0" xfId="0" applyNumberForma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/>
    </xf>
  </cellXfs>
  <cellStyles count="3">
    <cellStyle name="쉼표 [0]" xfId="1" builtinId="6"/>
    <cellStyle name="표준" xfId="0" builtinId="0"/>
    <cellStyle name="표준_분석작업-1" xfId="2" xr:uid="{00000000-0005-0000-0000-000002000000}"/>
  </cellStyles>
  <dxfs count="2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59799-A0A6-4995-A74A-E8BAC17514BD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8.125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50</v>
      </c>
      <c r="F3" s="38" t="s">
        <v>51</v>
      </c>
    </row>
    <row r="4" spans="2:6" ht="40.5" hidden="1" outlineLevel="1" x14ac:dyDescent="0.3">
      <c r="B4" s="33"/>
      <c r="C4" s="33"/>
      <c r="D4" s="25"/>
      <c r="E4" s="40" t="s">
        <v>70</v>
      </c>
      <c r="F4" s="40" t="s">
        <v>70</v>
      </c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46</v>
      </c>
      <c r="D6" s="26">
        <v>0.12</v>
      </c>
      <c r="E6" s="39">
        <v>0.15</v>
      </c>
      <c r="F6" s="39">
        <v>0.09</v>
      </c>
    </row>
    <row r="7" spans="2:6" x14ac:dyDescent="0.3">
      <c r="B7" s="34" t="s">
        <v>55</v>
      </c>
      <c r="C7" s="35"/>
      <c r="D7" s="32"/>
      <c r="E7" s="32"/>
      <c r="F7" s="32"/>
    </row>
    <row r="8" spans="2:6" outlineLevel="1" x14ac:dyDescent="0.3">
      <c r="B8" s="33"/>
      <c r="C8" s="33" t="s">
        <v>47</v>
      </c>
      <c r="D8" s="27">
        <v>194400</v>
      </c>
      <c r="E8" s="27">
        <v>243000</v>
      </c>
      <c r="F8" s="27">
        <v>145800</v>
      </c>
    </row>
    <row r="9" spans="2:6" outlineLevel="1" x14ac:dyDescent="0.3">
      <c r="B9" s="33"/>
      <c r="C9" s="33" t="s">
        <v>48</v>
      </c>
      <c r="D9" s="27">
        <v>246000</v>
      </c>
      <c r="E9" s="27">
        <v>307500</v>
      </c>
      <c r="F9" s="27">
        <v>184500</v>
      </c>
    </row>
    <row r="10" spans="2:6" ht="17.25" outlineLevel="1" thickBot="1" x14ac:dyDescent="0.35">
      <c r="B10" s="36"/>
      <c r="C10" s="36" t="s">
        <v>49</v>
      </c>
      <c r="D10" s="28">
        <v>427200</v>
      </c>
      <c r="E10" s="28">
        <v>534000</v>
      </c>
      <c r="F10" s="28">
        <v>320400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8"/>
  <sheetViews>
    <sheetView zoomScale="130" zoomScaleNormal="130" workbookViewId="0">
      <selection activeCell="G7" sqref="G7"/>
    </sheetView>
  </sheetViews>
  <sheetFormatPr defaultRowHeight="16.5" x14ac:dyDescent="0.3"/>
  <cols>
    <col min="3" max="4" width="9.875" bestFit="1" customWidth="1"/>
    <col min="5" max="6" width="10.875" bestFit="1" customWidth="1"/>
    <col min="7" max="7" width="9.375" bestFit="1" customWidth="1"/>
  </cols>
  <sheetData>
    <row r="1" spans="1:7" ht="20.25" x14ac:dyDescent="0.3">
      <c r="A1" s="42" t="s">
        <v>0</v>
      </c>
      <c r="B1" s="42"/>
      <c r="C1" s="42"/>
      <c r="D1" s="42"/>
      <c r="E1" s="42"/>
      <c r="F1" s="42"/>
      <c r="G1" s="42"/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8</v>
      </c>
      <c r="B4" s="1">
        <v>101</v>
      </c>
      <c r="C4" s="2">
        <v>43834</v>
      </c>
      <c r="D4" s="2">
        <v>43837</v>
      </c>
      <c r="E4" s="3">
        <v>400000</v>
      </c>
      <c r="F4" s="3">
        <v>430000</v>
      </c>
      <c r="G4" s="3">
        <f>F4*$B$18</f>
        <v>51600</v>
      </c>
    </row>
    <row r="5" spans="1:7" x14ac:dyDescent="0.3">
      <c r="A5" s="1" t="s">
        <v>8</v>
      </c>
      <c r="B5" s="1">
        <v>102</v>
      </c>
      <c r="C5" s="2">
        <v>43845</v>
      </c>
      <c r="D5" s="2">
        <v>43848</v>
      </c>
      <c r="E5" s="3">
        <v>1000000</v>
      </c>
      <c r="F5" s="3">
        <v>1070000</v>
      </c>
      <c r="G5" s="3">
        <f t="shared" ref="G5:G15" si="0">F5*$B$18</f>
        <v>128400</v>
      </c>
    </row>
    <row r="6" spans="1:7" x14ac:dyDescent="0.3">
      <c r="A6" s="1" t="s">
        <v>8</v>
      </c>
      <c r="B6" s="1">
        <v>103</v>
      </c>
      <c r="C6" s="2">
        <v>43851</v>
      </c>
      <c r="D6" s="2">
        <v>43853</v>
      </c>
      <c r="E6" s="3">
        <v>100000</v>
      </c>
      <c r="F6" s="3">
        <v>120000</v>
      </c>
      <c r="G6" s="3">
        <f t="shared" si="0"/>
        <v>14400</v>
      </c>
    </row>
    <row r="7" spans="1:7" x14ac:dyDescent="0.3">
      <c r="A7" s="43" t="s">
        <v>9</v>
      </c>
      <c r="B7" s="44"/>
      <c r="C7" s="44"/>
      <c r="D7" s="45"/>
      <c r="E7" s="3">
        <f>SUM(E4:E6)</f>
        <v>1500000</v>
      </c>
      <c r="F7" s="3">
        <f t="shared" ref="F7" si="1">SUM(F4:F6)</f>
        <v>1620000</v>
      </c>
      <c r="G7" s="3">
        <f>SUM(G4:G6)</f>
        <v>194400</v>
      </c>
    </row>
    <row r="8" spans="1:7" x14ac:dyDescent="0.3">
      <c r="A8" s="1" t="s">
        <v>10</v>
      </c>
      <c r="B8" s="1">
        <v>102</v>
      </c>
      <c r="C8" s="2">
        <v>43867</v>
      </c>
      <c r="D8" s="2">
        <v>43869</v>
      </c>
      <c r="E8" s="3">
        <v>500000</v>
      </c>
      <c r="F8" s="3">
        <v>550000</v>
      </c>
      <c r="G8" s="3">
        <f t="shared" si="0"/>
        <v>66000</v>
      </c>
    </row>
    <row r="9" spans="1:7" x14ac:dyDescent="0.3">
      <c r="A9" s="1" t="s">
        <v>10</v>
      </c>
      <c r="B9" s="1">
        <v>103</v>
      </c>
      <c r="C9" s="2">
        <v>43871</v>
      </c>
      <c r="D9" s="2">
        <v>43873</v>
      </c>
      <c r="E9" s="3">
        <v>450000</v>
      </c>
      <c r="F9" s="3">
        <v>480000</v>
      </c>
      <c r="G9" s="3">
        <f t="shared" si="0"/>
        <v>57600</v>
      </c>
    </row>
    <row r="10" spans="1:7" x14ac:dyDescent="0.3">
      <c r="A10" s="1" t="s">
        <v>10</v>
      </c>
      <c r="B10" s="1">
        <v>103</v>
      </c>
      <c r="C10" s="2">
        <v>43874</v>
      </c>
      <c r="D10" s="2">
        <v>43877</v>
      </c>
      <c r="E10" s="3">
        <v>450000</v>
      </c>
      <c r="F10" s="3">
        <v>480000</v>
      </c>
      <c r="G10" s="3">
        <f t="shared" si="0"/>
        <v>57600</v>
      </c>
    </row>
    <row r="11" spans="1:7" x14ac:dyDescent="0.3">
      <c r="A11" s="1" t="s">
        <v>10</v>
      </c>
      <c r="B11" s="1">
        <v>104</v>
      </c>
      <c r="C11" s="2">
        <v>43884</v>
      </c>
      <c r="D11" s="2">
        <v>43886</v>
      </c>
      <c r="E11" s="3">
        <v>500000</v>
      </c>
      <c r="F11" s="3">
        <v>540000</v>
      </c>
      <c r="G11" s="3">
        <f t="shared" si="0"/>
        <v>64800</v>
      </c>
    </row>
    <row r="12" spans="1:7" x14ac:dyDescent="0.3">
      <c r="A12" s="43" t="s">
        <v>9</v>
      </c>
      <c r="B12" s="44"/>
      <c r="C12" s="44"/>
      <c r="D12" s="45"/>
      <c r="E12" s="3">
        <f>SUM(E8:E11)</f>
        <v>1900000</v>
      </c>
      <c r="F12" s="3">
        <f t="shared" ref="F12" si="2">SUM(F8:F11)</f>
        <v>2050000</v>
      </c>
      <c r="G12" s="3">
        <f>SUM(G8:G11)</f>
        <v>246000</v>
      </c>
    </row>
    <row r="13" spans="1:7" x14ac:dyDescent="0.3">
      <c r="A13" s="1" t="s">
        <v>11</v>
      </c>
      <c r="B13" s="1">
        <v>101</v>
      </c>
      <c r="C13" s="2">
        <v>43892</v>
      </c>
      <c r="D13" s="2">
        <v>43895</v>
      </c>
      <c r="E13" s="3">
        <v>500000</v>
      </c>
      <c r="F13" s="3">
        <v>550000</v>
      </c>
      <c r="G13" s="3">
        <f t="shared" si="0"/>
        <v>66000</v>
      </c>
    </row>
    <row r="14" spans="1:7" x14ac:dyDescent="0.3">
      <c r="A14" s="1" t="s">
        <v>11</v>
      </c>
      <c r="B14" s="1">
        <v>102</v>
      </c>
      <c r="C14" s="2">
        <v>43899</v>
      </c>
      <c r="D14" s="2">
        <v>43901</v>
      </c>
      <c r="E14" s="3">
        <v>1400000</v>
      </c>
      <c r="F14" s="3">
        <v>1450000</v>
      </c>
      <c r="G14" s="3">
        <f t="shared" si="0"/>
        <v>174000</v>
      </c>
    </row>
    <row r="15" spans="1:7" x14ac:dyDescent="0.3">
      <c r="A15" s="1" t="s">
        <v>11</v>
      </c>
      <c r="B15" s="1">
        <v>104</v>
      </c>
      <c r="C15" s="2">
        <v>43904</v>
      </c>
      <c r="D15" s="2">
        <v>43910</v>
      </c>
      <c r="E15" s="3">
        <v>1500000</v>
      </c>
      <c r="F15" s="3">
        <v>1560000</v>
      </c>
      <c r="G15" s="3">
        <f t="shared" si="0"/>
        <v>187200</v>
      </c>
    </row>
    <row r="16" spans="1:7" x14ac:dyDescent="0.3">
      <c r="A16" s="43" t="s">
        <v>9</v>
      </c>
      <c r="B16" s="44"/>
      <c r="C16" s="44"/>
      <c r="D16" s="45"/>
      <c r="E16" s="3">
        <f>SUM(E13:E15)</f>
        <v>3400000</v>
      </c>
      <c r="F16" s="3">
        <f t="shared" ref="F16:G16" si="3">SUM(F13:F15)</f>
        <v>3560000</v>
      </c>
      <c r="G16" s="3">
        <f t="shared" si="3"/>
        <v>427200</v>
      </c>
    </row>
    <row r="18" spans="1:2" x14ac:dyDescent="0.3">
      <c r="A18" s="4" t="s">
        <v>12</v>
      </c>
      <c r="B18" s="5">
        <v>0.12</v>
      </c>
    </row>
  </sheetData>
  <scenarios current="0" sqref="G7 G12 G16">
    <scenario name="세율인상" locked="1" count="1" user="mbc" comment="만든 사람 mbc 날짜 2026-09-09">
      <inputCells r="B18" val="0.15" numFmtId="9"/>
    </scenario>
    <scenario name="세율인하" locked="1" count="1" user="mbc" comment="만든 사람 mbc 날짜 2026-09-09">
      <inputCells r="B18" val="0.09" numFmtId="9"/>
    </scenario>
  </scenarios>
  <mergeCells count="4">
    <mergeCell ref="A1:G1"/>
    <mergeCell ref="A7:D7"/>
    <mergeCell ref="A12:D12"/>
    <mergeCell ref="A16:D16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G7 G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7.625" customWidth="1"/>
    <col min="4" max="6" width="9.12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50</v>
      </c>
      <c r="F3" s="38" t="s">
        <v>51</v>
      </c>
    </row>
    <row r="4" spans="2:6" hidden="1" outlineLevel="1" x14ac:dyDescent="0.3">
      <c r="B4" s="33"/>
      <c r="C4" s="33"/>
      <c r="D4" s="25"/>
      <c r="E4" s="40"/>
      <c r="F4" s="40"/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46</v>
      </c>
      <c r="D6" s="26">
        <v>0.12</v>
      </c>
      <c r="E6" s="39">
        <v>0.15</v>
      </c>
      <c r="F6" s="39">
        <v>0.09</v>
      </c>
    </row>
    <row r="7" spans="2:6" x14ac:dyDescent="0.3">
      <c r="B7" s="34" t="s">
        <v>55</v>
      </c>
      <c r="C7" s="35"/>
      <c r="D7" s="32"/>
      <c r="E7" s="32"/>
      <c r="F7" s="32"/>
    </row>
    <row r="8" spans="2:6" outlineLevel="1" x14ac:dyDescent="0.3">
      <c r="B8" s="33"/>
      <c r="C8" s="33" t="s">
        <v>47</v>
      </c>
      <c r="D8" s="27">
        <v>194400</v>
      </c>
      <c r="E8" s="27">
        <v>243000</v>
      </c>
      <c r="F8" s="27">
        <v>145800</v>
      </c>
    </row>
    <row r="9" spans="2:6" outlineLevel="1" x14ac:dyDescent="0.3">
      <c r="B9" s="33"/>
      <c r="C9" s="33" t="s">
        <v>48</v>
      </c>
      <c r="D9" s="27">
        <v>246000</v>
      </c>
      <c r="E9" s="27">
        <v>307500</v>
      </c>
      <c r="F9" s="27">
        <v>184500</v>
      </c>
    </row>
    <row r="10" spans="2:6" ht="17.25" outlineLevel="1" thickBot="1" x14ac:dyDescent="0.35">
      <c r="B10" s="36"/>
      <c r="C10" s="36" t="s">
        <v>49</v>
      </c>
      <c r="D10" s="28">
        <v>427200</v>
      </c>
      <c r="E10" s="28">
        <v>534000</v>
      </c>
      <c r="F10" s="28">
        <v>320400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A5DA9-5E3B-4606-AC7A-BAA64C94B304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63</v>
      </c>
      <c r="F3" s="38" t="s">
        <v>64</v>
      </c>
    </row>
    <row r="4" spans="2:6" ht="27" hidden="1" outlineLevel="1" x14ac:dyDescent="0.3">
      <c r="B4" s="33"/>
      <c r="C4" s="33"/>
      <c r="D4" s="25"/>
      <c r="E4" s="40" t="s">
        <v>70</v>
      </c>
      <c r="F4" s="40" t="s">
        <v>70</v>
      </c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59</v>
      </c>
      <c r="D6" s="26">
        <v>0.35</v>
      </c>
      <c r="E6" s="39">
        <v>0.45</v>
      </c>
      <c r="F6" s="39">
        <v>0.25</v>
      </c>
    </row>
    <row r="7" spans="2:6" outlineLevel="1" x14ac:dyDescent="0.3">
      <c r="B7" s="33"/>
      <c r="C7" s="33" t="s">
        <v>60</v>
      </c>
      <c r="D7" s="26">
        <v>0.05</v>
      </c>
      <c r="E7" s="39">
        <v>0.03</v>
      </c>
      <c r="F7" s="39">
        <v>0.08</v>
      </c>
    </row>
    <row r="8" spans="2:6" x14ac:dyDescent="0.3">
      <c r="B8" s="34" t="s">
        <v>55</v>
      </c>
      <c r="C8" s="35"/>
      <c r="D8" s="32"/>
      <c r="E8" s="32"/>
      <c r="F8" s="32"/>
    </row>
    <row r="9" spans="2:6" outlineLevel="1" x14ac:dyDescent="0.3">
      <c r="B9" s="33"/>
      <c r="C9" s="33" t="s">
        <v>61</v>
      </c>
      <c r="D9" s="27">
        <v>168712335</v>
      </c>
      <c r="E9" s="27">
        <v>181209545</v>
      </c>
      <c r="F9" s="27">
        <v>156215125</v>
      </c>
    </row>
    <row r="10" spans="2:6" ht="17.25" outlineLevel="1" thickBot="1" x14ac:dyDescent="0.35">
      <c r="B10" s="36"/>
      <c r="C10" s="36" t="s">
        <v>62</v>
      </c>
      <c r="D10" s="28">
        <v>35304618.25</v>
      </c>
      <c r="E10" s="28">
        <v>50801158.649999999</v>
      </c>
      <c r="F10" s="28">
        <v>18745815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3"/>
  <sheetViews>
    <sheetView workbookViewId="0">
      <selection activeCell="F10" sqref="F10"/>
    </sheetView>
  </sheetViews>
  <sheetFormatPr defaultRowHeight="16.5" x14ac:dyDescent="0.3"/>
  <cols>
    <col min="2" max="3" width="11" customWidth="1"/>
    <col min="5" max="5" width="13" bestFit="1" customWidth="1"/>
    <col min="6" max="6" width="11.875" bestFit="1" customWidth="1"/>
  </cols>
  <sheetData>
    <row r="1" spans="1:6" ht="26.25" x14ac:dyDescent="0.3">
      <c r="A1" s="46" t="s">
        <v>13</v>
      </c>
      <c r="B1" s="46"/>
      <c r="C1" s="46"/>
      <c r="D1" s="46"/>
      <c r="E1" s="46"/>
      <c r="F1" s="46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14</v>
      </c>
      <c r="B3" s="7" t="s">
        <v>15</v>
      </c>
      <c r="C3" s="7" t="s">
        <v>16</v>
      </c>
      <c r="D3" s="7" t="s">
        <v>17</v>
      </c>
      <c r="E3" s="7" t="s">
        <v>18</v>
      </c>
      <c r="F3" s="7" t="s">
        <v>19</v>
      </c>
    </row>
    <row r="4" spans="1:6" x14ac:dyDescent="0.3">
      <c r="A4" s="7" t="s">
        <v>20</v>
      </c>
      <c r="B4" s="8">
        <v>251900</v>
      </c>
      <c r="C4" s="8">
        <f t="shared" ref="C4:C9" si="0">B4+B4*$A$13</f>
        <v>340065</v>
      </c>
      <c r="D4" s="9">
        <v>23</v>
      </c>
      <c r="E4" s="8">
        <f>C4*D4</f>
        <v>7821495</v>
      </c>
      <c r="F4" s="8">
        <f>E4-E4*$B$13-B4*D4</f>
        <v>1636720.25</v>
      </c>
    </row>
    <row r="5" spans="1:6" x14ac:dyDescent="0.3">
      <c r="A5" s="7" t="s">
        <v>21</v>
      </c>
      <c r="B5" s="8">
        <v>180400</v>
      </c>
      <c r="C5" s="8">
        <f t="shared" si="0"/>
        <v>243540</v>
      </c>
      <c r="D5" s="9">
        <v>67</v>
      </c>
      <c r="E5" s="8">
        <f t="shared" ref="E5:E9" si="1">C5*D5</f>
        <v>16317180</v>
      </c>
      <c r="F5" s="8">
        <f t="shared" ref="F5:F9" si="2">E5-E5*$B$13-B5*D5</f>
        <v>3414521</v>
      </c>
    </row>
    <row r="6" spans="1:6" x14ac:dyDescent="0.3">
      <c r="A6" s="7" t="s">
        <v>22</v>
      </c>
      <c r="B6" s="8">
        <v>273900</v>
      </c>
      <c r="C6" s="8">
        <f t="shared" si="0"/>
        <v>369765</v>
      </c>
      <c r="D6" s="9">
        <v>34</v>
      </c>
      <c r="E6" s="8">
        <f t="shared" si="1"/>
        <v>12572010</v>
      </c>
      <c r="F6" s="8">
        <f t="shared" si="2"/>
        <v>2630809.5</v>
      </c>
    </row>
    <row r="7" spans="1:6" x14ac:dyDescent="0.3">
      <c r="A7" s="7" t="s">
        <v>23</v>
      </c>
      <c r="B7" s="8">
        <v>178750</v>
      </c>
      <c r="C7" s="8">
        <f t="shared" si="0"/>
        <v>241312.5</v>
      </c>
      <c r="D7" s="9">
        <v>56</v>
      </c>
      <c r="E7" s="8">
        <f t="shared" si="1"/>
        <v>13513500</v>
      </c>
      <c r="F7" s="8">
        <f t="shared" si="2"/>
        <v>2827825</v>
      </c>
    </row>
    <row r="8" spans="1:6" x14ac:dyDescent="0.3">
      <c r="A8" s="7" t="s">
        <v>24</v>
      </c>
      <c r="B8" s="8">
        <v>489500</v>
      </c>
      <c r="C8" s="8">
        <f t="shared" si="0"/>
        <v>660825</v>
      </c>
      <c r="D8" s="9">
        <v>78</v>
      </c>
      <c r="E8" s="8">
        <f t="shared" si="1"/>
        <v>51544350</v>
      </c>
      <c r="F8" s="8">
        <f t="shared" si="2"/>
        <v>10786132.5</v>
      </c>
    </row>
    <row r="9" spans="1:6" x14ac:dyDescent="0.3">
      <c r="A9" s="7" t="s">
        <v>25</v>
      </c>
      <c r="B9" s="8">
        <v>539000</v>
      </c>
      <c r="C9" s="8">
        <f t="shared" si="0"/>
        <v>727650</v>
      </c>
      <c r="D9" s="9">
        <v>92</v>
      </c>
      <c r="E9" s="8">
        <f t="shared" si="1"/>
        <v>66943800</v>
      </c>
      <c r="F9" s="8">
        <f t="shared" si="2"/>
        <v>14008610</v>
      </c>
    </row>
    <row r="10" spans="1:6" x14ac:dyDescent="0.3">
      <c r="A10" s="47" t="s">
        <v>26</v>
      </c>
      <c r="B10" s="47"/>
      <c r="C10" s="47"/>
      <c r="D10" s="10">
        <f>SUM(D4:D9)</f>
        <v>350</v>
      </c>
      <c r="E10" s="8">
        <f>SUM(E4:E9)</f>
        <v>168712335</v>
      </c>
      <c r="F10" s="8">
        <f>SUM(F4:F9)</f>
        <v>35304618.25</v>
      </c>
    </row>
    <row r="11" spans="1:6" x14ac:dyDescent="0.3">
      <c r="A11" s="11"/>
      <c r="B11" s="11"/>
      <c r="C11" s="11"/>
      <c r="D11" s="11"/>
      <c r="E11" s="11"/>
      <c r="F11" s="11"/>
    </row>
    <row r="12" spans="1:6" x14ac:dyDescent="0.3">
      <c r="A12" s="7" t="s">
        <v>27</v>
      </c>
      <c r="B12" s="7" t="s">
        <v>28</v>
      </c>
      <c r="C12" s="6"/>
      <c r="D12" s="6"/>
      <c r="E12" s="12"/>
      <c r="F12" s="6"/>
    </row>
    <row r="13" spans="1:6" x14ac:dyDescent="0.3">
      <c r="A13" s="13">
        <v>0.35</v>
      </c>
      <c r="B13" s="14">
        <v>0.05</v>
      </c>
      <c r="C13" s="6"/>
      <c r="D13" s="6"/>
      <c r="E13" s="6"/>
      <c r="F13" s="6"/>
    </row>
  </sheetData>
  <scenarios current="0" sqref="E10:F10">
    <scenario name="이익증가" locked="1" count="2" user="mbc" comment="만든 사람 mbc 날짜 2026-09-09">
      <inputCells r="A13" val="0.45" numFmtId="9"/>
      <inputCells r="B13" val="0.03" numFmtId="9"/>
    </scenario>
    <scenario name="이익감소" locked="1" count="2" user="mbc" comment="만든 사람 mbc 날짜 2026-09-09">
      <inputCells r="A13" val="0.25" numFmtId="9"/>
      <inputCells r="B13" val="0.08" numFmtId="9"/>
    </scenario>
  </scenarios>
  <mergeCells count="2">
    <mergeCell ref="A1:F1"/>
    <mergeCell ref="A10:C10"/>
  </mergeCells>
  <phoneticPr fontId="2" type="noConversion"/>
  <conditionalFormatting sqref="A4:A9">
    <cfRule type="cellIs" dxfId="1" priority="2" stopIfTrue="1" operator="equal">
      <formula>"소계"</formula>
    </cfRule>
  </conditionalFormatting>
  <conditionalFormatting sqref="F4:F10">
    <cfRule type="cellIs" dxfId="0" priority="1" stopIfTrue="1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6F26E-8012-47D5-AF99-B3085A20F015}">
  <sheetPr>
    <outlinePr summaryBelow="0"/>
  </sheetPr>
  <dimension ref="B1:F13"/>
  <sheetViews>
    <sheetView showGridLines="0" workbookViewId="0">
      <selection activeCell="J25" sqref="J25"/>
    </sheetView>
  </sheetViews>
  <sheetFormatPr defaultRowHeight="16.5" outlineLevelRow="1" outlineLevelCol="1" x14ac:dyDescent="0.3"/>
  <cols>
    <col min="3" max="3" width="13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63</v>
      </c>
      <c r="F3" s="38" t="s">
        <v>64</v>
      </c>
    </row>
    <row r="4" spans="2:6" hidden="1" outlineLevel="1" x14ac:dyDescent="0.3">
      <c r="B4" s="33"/>
      <c r="C4" s="33"/>
      <c r="D4" s="25"/>
      <c r="E4" s="40"/>
      <c r="F4" s="40"/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59</v>
      </c>
      <c r="D6" s="26">
        <v>0.35</v>
      </c>
      <c r="E6" s="39">
        <v>0.45</v>
      </c>
      <c r="F6" s="39">
        <v>0.25</v>
      </c>
    </row>
    <row r="7" spans="2:6" outlineLevel="1" x14ac:dyDescent="0.3">
      <c r="B7" s="33"/>
      <c r="C7" s="33" t="s">
        <v>60</v>
      </c>
      <c r="D7" s="26">
        <v>0.05</v>
      </c>
      <c r="E7" s="39">
        <v>0.03</v>
      </c>
      <c r="F7" s="39">
        <v>0.08</v>
      </c>
    </row>
    <row r="8" spans="2:6" x14ac:dyDescent="0.3">
      <c r="B8" s="34" t="s">
        <v>55</v>
      </c>
      <c r="C8" s="35"/>
      <c r="D8" s="32"/>
      <c r="E8" s="32"/>
      <c r="F8" s="32"/>
    </row>
    <row r="9" spans="2:6" outlineLevel="1" x14ac:dyDescent="0.3">
      <c r="B9" s="33"/>
      <c r="C9" s="33" t="s">
        <v>61</v>
      </c>
      <c r="D9" s="27">
        <v>168712335</v>
      </c>
      <c r="E9" s="27">
        <v>181209545</v>
      </c>
      <c r="F9" s="27">
        <v>156215125</v>
      </c>
    </row>
    <row r="10" spans="2:6" ht="17.25" outlineLevel="1" thickBot="1" x14ac:dyDescent="0.35">
      <c r="B10" s="36"/>
      <c r="C10" s="36" t="s">
        <v>62</v>
      </c>
      <c r="D10" s="28">
        <v>35304618.25</v>
      </c>
      <c r="E10" s="28">
        <v>50801158.649999999</v>
      </c>
      <c r="F10" s="28">
        <v>18745815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5BF86-0A75-4EF5-8807-7631D2BD6E1D}">
  <sheetPr>
    <outlinePr summaryBelow="0"/>
  </sheetPr>
  <dimension ref="B1:F12"/>
  <sheetViews>
    <sheetView showGridLines="0" tabSelected="1" workbookViewId="0"/>
  </sheetViews>
  <sheetFormatPr defaultRowHeight="16.5" outlineLevelRow="1" outlineLevelCol="1" x14ac:dyDescent="0.3"/>
  <cols>
    <col min="3" max="3" width="13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68</v>
      </c>
      <c r="F3" s="38" t="s">
        <v>69</v>
      </c>
    </row>
    <row r="4" spans="2:6" ht="40.5" hidden="1" outlineLevel="1" x14ac:dyDescent="0.3">
      <c r="B4" s="33"/>
      <c r="C4" s="33"/>
      <c r="D4" s="25"/>
      <c r="E4" s="40" t="s">
        <v>70</v>
      </c>
      <c r="F4" s="40" t="s">
        <v>70</v>
      </c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65</v>
      </c>
      <c r="D6" s="27">
        <v>40000</v>
      </c>
      <c r="E6" s="41">
        <v>44000</v>
      </c>
      <c r="F6" s="41">
        <v>48000</v>
      </c>
    </row>
    <row r="7" spans="2:6" outlineLevel="1" x14ac:dyDescent="0.3">
      <c r="B7" s="33"/>
      <c r="C7" s="33" t="s">
        <v>66</v>
      </c>
      <c r="D7" s="27">
        <v>900000</v>
      </c>
      <c r="E7" s="41">
        <v>990000</v>
      </c>
      <c r="F7" s="41">
        <v>1080000</v>
      </c>
    </row>
    <row r="8" spans="2:6" x14ac:dyDescent="0.3">
      <c r="B8" s="34" t="s">
        <v>55</v>
      </c>
      <c r="C8" s="35"/>
      <c r="D8" s="32"/>
      <c r="E8" s="32"/>
      <c r="F8" s="32"/>
    </row>
    <row r="9" spans="2:6" ht="17.25" outlineLevel="1" thickBot="1" x14ac:dyDescent="0.35">
      <c r="B9" s="36"/>
      <c r="C9" s="36" t="s">
        <v>67</v>
      </c>
      <c r="D9" s="28">
        <v>7120000</v>
      </c>
      <c r="E9" s="28">
        <v>8432000</v>
      </c>
      <c r="F9" s="28">
        <v>9744000</v>
      </c>
    </row>
    <row r="10" spans="2:6" x14ac:dyDescent="0.3">
      <c r="B10" t="s">
        <v>56</v>
      </c>
    </row>
    <row r="11" spans="2:6" x14ac:dyDescent="0.3">
      <c r="B11" t="s">
        <v>57</v>
      </c>
    </row>
    <row r="12" spans="2:6" x14ac:dyDescent="0.3">
      <c r="B12" t="s">
        <v>58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4"/>
  <sheetViews>
    <sheetView workbookViewId="0">
      <selection activeCell="H10" sqref="H10"/>
    </sheetView>
  </sheetViews>
  <sheetFormatPr defaultRowHeight="16.5" x14ac:dyDescent="0.3"/>
  <cols>
    <col min="1" max="1" width="13" bestFit="1" customWidth="1"/>
    <col min="2" max="3" width="11" bestFit="1" customWidth="1"/>
    <col min="4" max="4" width="13" bestFit="1" customWidth="1"/>
    <col min="6" max="6" width="13" bestFit="1" customWidth="1"/>
    <col min="7" max="8" width="10.875" bestFit="1" customWidth="1"/>
  </cols>
  <sheetData>
    <row r="1" spans="1:8" ht="20.25" x14ac:dyDescent="0.35">
      <c r="A1" s="48" t="s">
        <v>29</v>
      </c>
      <c r="B1" s="48"/>
      <c r="C1" s="48"/>
      <c r="D1" s="48"/>
      <c r="E1" s="48"/>
      <c r="F1" s="48"/>
      <c r="G1" s="48"/>
      <c r="H1" s="48"/>
    </row>
    <row r="2" spans="1:8" x14ac:dyDescent="0.3">
      <c r="A2" s="15"/>
      <c r="B2" s="15"/>
      <c r="C2" s="15"/>
      <c r="D2" s="15"/>
      <c r="E2" s="15"/>
      <c r="F2" s="6"/>
      <c r="G2" s="6"/>
      <c r="H2" s="16"/>
    </row>
    <row r="3" spans="1:8" x14ac:dyDescent="0.3">
      <c r="A3" s="17" t="s">
        <v>30</v>
      </c>
      <c r="B3" s="17" t="s">
        <v>31</v>
      </c>
      <c r="C3" s="17" t="s">
        <v>32</v>
      </c>
      <c r="D3" s="17" t="s">
        <v>33</v>
      </c>
      <c r="E3" s="17" t="s">
        <v>34</v>
      </c>
      <c r="F3" s="17" t="s">
        <v>35</v>
      </c>
      <c r="G3" s="18" t="s">
        <v>36</v>
      </c>
      <c r="H3" s="18" t="s">
        <v>37</v>
      </c>
    </row>
    <row r="4" spans="1:8" x14ac:dyDescent="0.3">
      <c r="A4" s="17" t="s">
        <v>38</v>
      </c>
      <c r="B4" s="19">
        <v>850</v>
      </c>
      <c r="C4" s="19">
        <v>198</v>
      </c>
      <c r="D4" s="19">
        <f t="shared" ref="D4:D9" si="0">$A$14*(B4-C4)</f>
        <v>26080000</v>
      </c>
      <c r="E4" s="19">
        <v>25</v>
      </c>
      <c r="F4" s="19">
        <f t="shared" ref="F4:F10" si="1">$B$14*E4</f>
        <v>22500000</v>
      </c>
      <c r="G4" s="20">
        <v>1000000</v>
      </c>
      <c r="H4" s="21">
        <f t="shared" ref="H4:H9" si="2">D4-F4-G4</f>
        <v>2580000</v>
      </c>
    </row>
    <row r="5" spans="1:8" x14ac:dyDescent="0.3">
      <c r="A5" s="17" t="s">
        <v>39</v>
      </c>
      <c r="B5" s="19">
        <v>458</v>
      </c>
      <c r="C5" s="19">
        <v>50</v>
      </c>
      <c r="D5" s="19">
        <f t="shared" si="0"/>
        <v>16320000</v>
      </c>
      <c r="E5" s="19">
        <v>14</v>
      </c>
      <c r="F5" s="19">
        <f t="shared" si="1"/>
        <v>12600000</v>
      </c>
      <c r="G5" s="20">
        <v>1000000</v>
      </c>
      <c r="H5" s="21">
        <f t="shared" si="2"/>
        <v>2720000</v>
      </c>
    </row>
    <row r="6" spans="1:8" x14ac:dyDescent="0.3">
      <c r="A6" s="17" t="s">
        <v>40</v>
      </c>
      <c r="B6" s="19">
        <v>899</v>
      </c>
      <c r="C6" s="19">
        <v>91</v>
      </c>
      <c r="D6" s="19">
        <f t="shared" si="0"/>
        <v>32320000</v>
      </c>
      <c r="E6" s="19">
        <v>28</v>
      </c>
      <c r="F6" s="19">
        <f t="shared" si="1"/>
        <v>25200000</v>
      </c>
      <c r="G6" s="20">
        <v>1000000</v>
      </c>
      <c r="H6" s="21">
        <f t="shared" si="2"/>
        <v>6120000</v>
      </c>
    </row>
    <row r="7" spans="1:8" x14ac:dyDescent="0.3">
      <c r="A7" s="17" t="s">
        <v>41</v>
      </c>
      <c r="B7" s="19">
        <v>516</v>
      </c>
      <c r="C7" s="19">
        <v>112</v>
      </c>
      <c r="D7" s="19">
        <f t="shared" si="0"/>
        <v>16160000</v>
      </c>
      <c r="E7" s="19">
        <v>16</v>
      </c>
      <c r="F7" s="19">
        <f t="shared" si="1"/>
        <v>14400000</v>
      </c>
      <c r="G7" s="20">
        <v>1000000</v>
      </c>
      <c r="H7" s="21">
        <f t="shared" si="2"/>
        <v>760000</v>
      </c>
    </row>
    <row r="8" spans="1:8" x14ac:dyDescent="0.3">
      <c r="A8" s="17" t="s">
        <v>42</v>
      </c>
      <c r="B8" s="19">
        <v>990</v>
      </c>
      <c r="C8" s="19">
        <v>65</v>
      </c>
      <c r="D8" s="19">
        <f t="shared" si="0"/>
        <v>37000000</v>
      </c>
      <c r="E8" s="19">
        <v>42</v>
      </c>
      <c r="F8" s="19">
        <f t="shared" si="1"/>
        <v>37800000</v>
      </c>
      <c r="G8" s="20">
        <v>1000000</v>
      </c>
      <c r="H8" s="21">
        <f t="shared" si="2"/>
        <v>-1800000</v>
      </c>
    </row>
    <row r="9" spans="1:8" x14ac:dyDescent="0.3">
      <c r="A9" s="17" t="s">
        <v>43</v>
      </c>
      <c r="B9" s="19">
        <v>350</v>
      </c>
      <c r="C9" s="19">
        <v>69</v>
      </c>
      <c r="D9" s="19">
        <f t="shared" si="0"/>
        <v>11240000</v>
      </c>
      <c r="E9" s="19">
        <v>15</v>
      </c>
      <c r="F9" s="19">
        <f t="shared" si="1"/>
        <v>13500000</v>
      </c>
      <c r="G9" s="20">
        <v>1000000</v>
      </c>
      <c r="H9" s="21">
        <f t="shared" si="2"/>
        <v>-3260000</v>
      </c>
    </row>
    <row r="10" spans="1:8" x14ac:dyDescent="0.3">
      <c r="A10" s="17" t="s">
        <v>44</v>
      </c>
      <c r="B10" s="19">
        <f>SUM(B4:B9)</f>
        <v>4063</v>
      </c>
      <c r="C10" s="19">
        <f>SUM(C4:C9)</f>
        <v>585</v>
      </c>
      <c r="D10" s="19">
        <f>SUM(D4:D9)</f>
        <v>139120000</v>
      </c>
      <c r="E10" s="19">
        <f>SUM(E4:E9)</f>
        <v>140</v>
      </c>
      <c r="F10" s="19">
        <f t="shared" si="1"/>
        <v>126000000</v>
      </c>
      <c r="G10" s="20">
        <v>1000000</v>
      </c>
      <c r="H10" s="21">
        <f>SUM(H4:H9)</f>
        <v>7120000</v>
      </c>
    </row>
    <row r="11" spans="1:8" x14ac:dyDescent="0.3">
      <c r="A11" s="22"/>
      <c r="B11" s="22"/>
      <c r="C11" s="22"/>
      <c r="D11" s="22"/>
      <c r="E11" s="22"/>
      <c r="F11" s="22"/>
      <c r="G11" s="6"/>
      <c r="H11" s="6"/>
    </row>
    <row r="12" spans="1:8" x14ac:dyDescent="0.3">
      <c r="A12" s="23"/>
      <c r="B12" s="6"/>
      <c r="C12" s="6"/>
      <c r="D12" s="15"/>
      <c r="E12" s="15"/>
      <c r="F12" s="24"/>
      <c r="G12" s="6"/>
      <c r="H12" s="6"/>
    </row>
    <row r="13" spans="1:8" x14ac:dyDescent="0.3">
      <c r="A13" s="17" t="s">
        <v>45</v>
      </c>
      <c r="B13" s="17" t="s">
        <v>35</v>
      </c>
      <c r="C13" s="6"/>
      <c r="D13" s="15"/>
      <c r="E13" s="15"/>
      <c r="F13" s="15"/>
      <c r="G13" s="6"/>
      <c r="H13" s="6"/>
    </row>
    <row r="14" spans="1:8" x14ac:dyDescent="0.3">
      <c r="A14" s="19">
        <v>40000</v>
      </c>
      <c r="B14" s="19">
        <v>900000</v>
      </c>
      <c r="C14" s="6"/>
      <c r="D14" s="6"/>
      <c r="E14" s="6"/>
      <c r="F14" s="6"/>
      <c r="G14" s="6"/>
      <c r="H14" s="6"/>
    </row>
  </sheetData>
  <scenarios current="0" sqref="H10">
    <scenario name="10%인상" locked="1" count="2" user="mbc" comment="만든 사람 mbc 날짜 2026-09-09">
      <inputCells r="A14" val="44000" numFmtId="41"/>
      <inputCells r="B14" val="990000" numFmtId="41"/>
    </scenario>
    <scenario name="20%인상" locked="1" count="2" user="mbc" comment="만든 사람 mbc 날짜 2026-09-09">
      <inputCells r="A14" val="48000" numFmtId="41"/>
      <inputCells r="B14" val="1080000" numFmtId="41"/>
    </scenario>
  </scenarios>
  <mergeCells count="1">
    <mergeCell ref="A1:H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2.375" bestFit="1" customWidth="1"/>
    <col min="4" max="6" width="10.62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68</v>
      </c>
      <c r="F3" s="38" t="s">
        <v>69</v>
      </c>
    </row>
    <row r="4" spans="2:6" hidden="1" outlineLevel="1" x14ac:dyDescent="0.3">
      <c r="B4" s="33"/>
      <c r="C4" s="33"/>
      <c r="D4" s="25"/>
      <c r="E4" s="40"/>
      <c r="F4" s="40"/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65</v>
      </c>
      <c r="D6" s="27">
        <v>40000</v>
      </c>
      <c r="E6" s="41">
        <v>44000</v>
      </c>
      <c r="F6" s="41">
        <v>48000</v>
      </c>
    </row>
    <row r="7" spans="2:6" outlineLevel="1" x14ac:dyDescent="0.3">
      <c r="B7" s="33"/>
      <c r="C7" s="33" t="s">
        <v>66</v>
      </c>
      <c r="D7" s="27">
        <v>900000</v>
      </c>
      <c r="E7" s="41">
        <v>990000</v>
      </c>
      <c r="F7" s="41">
        <v>1080000</v>
      </c>
    </row>
    <row r="8" spans="2:6" x14ac:dyDescent="0.3">
      <c r="B8" s="34" t="s">
        <v>55</v>
      </c>
      <c r="C8" s="35"/>
      <c r="D8" s="32"/>
      <c r="E8" s="32"/>
      <c r="F8" s="32"/>
    </row>
    <row r="9" spans="2:6" ht="17.25" outlineLevel="1" thickBot="1" x14ac:dyDescent="0.35">
      <c r="B9" s="36"/>
      <c r="C9" s="36" t="s">
        <v>67</v>
      </c>
      <c r="D9" s="28">
        <v>7120000</v>
      </c>
      <c r="E9" s="28">
        <v>8432000</v>
      </c>
      <c r="F9" s="28">
        <v>9744000</v>
      </c>
    </row>
    <row r="10" spans="2:6" x14ac:dyDescent="0.3">
      <c r="B10" t="s">
        <v>56</v>
      </c>
    </row>
    <row r="11" spans="2:6" x14ac:dyDescent="0.3">
      <c r="B11" t="s">
        <v>57</v>
      </c>
    </row>
    <row r="12" spans="2:6" x14ac:dyDescent="0.3">
      <c r="B12" t="s">
        <v>58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11</vt:i4>
      </vt:variant>
    </vt:vector>
  </HeadingPairs>
  <TitlesOfParts>
    <vt:vector size="20" baseType="lpstr">
      <vt:lpstr>시나리오 요약</vt:lpstr>
      <vt:lpstr>시나리오1</vt:lpstr>
      <vt:lpstr>시나리오1(결과)</vt:lpstr>
      <vt:lpstr>시나리오 요약 2</vt:lpstr>
      <vt:lpstr>시나리오2</vt:lpstr>
      <vt:lpstr>시나리오2(결과)</vt:lpstr>
      <vt:lpstr>시나리오 요약 3</vt:lpstr>
      <vt:lpstr>시나리오3</vt:lpstr>
      <vt:lpstr>시나리오3(결과)</vt:lpstr>
      <vt:lpstr>강사료</vt:lpstr>
      <vt:lpstr>과목당수강료</vt:lpstr>
      <vt:lpstr>마진율</vt:lpstr>
      <vt:lpstr>세율</vt:lpstr>
      <vt:lpstr>소계1월</vt:lpstr>
      <vt:lpstr>소계2월</vt:lpstr>
      <vt:lpstr>소계3월</vt:lpstr>
      <vt:lpstr>이익금액합계</vt:lpstr>
      <vt:lpstr>이익합계</vt:lpstr>
      <vt:lpstr>판매금액합계</vt:lpstr>
      <vt:lpstr>할인율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2020-04-05T12:25:38Z</dcterms:created>
  <dcterms:modified xsi:type="dcterms:W3CDTF">2026-09-09T10:33:27Z</dcterms:modified>
</cp:coreProperties>
</file>