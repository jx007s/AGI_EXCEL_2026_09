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99C8EE03-2CC0-4BC4-A635-D885E0C166AE}" xr6:coauthVersionLast="47" xr6:coauthVersionMax="47" xr10:uidLastSave="{00000000-0000-0000-0000-000000000000}"/>
  <bookViews>
    <workbookView xWindow="22932" yWindow="-108" windowWidth="23256" windowHeight="12576" activeTab="5" xr2:uid="{00000000-000D-0000-FFFF-FFFF00000000}"/>
  </bookViews>
  <sheets>
    <sheet name="수식" sheetId="8" r:id="rId1"/>
    <sheet name="조건부1" sheetId="4" r:id="rId2"/>
    <sheet name="조건부1(결과)" sheetId="1" r:id="rId3"/>
    <sheet name="조건부2" sheetId="5" r:id="rId4"/>
    <sheet name="조건부2(결과)" sheetId="2" r:id="rId5"/>
    <sheet name="조건부3" sheetId="6" r:id="rId6"/>
    <sheet name="조건부3(결과)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8" i="8" l="1"/>
  <c r="B17" i="8"/>
  <c r="B16" i="8"/>
  <c r="B15" i="8"/>
  <c r="B14" i="8"/>
  <c r="B13" i="8"/>
  <c r="E10" i="8"/>
  <c r="C10" i="8"/>
  <c r="B10" i="8"/>
  <c r="H5" i="8"/>
  <c r="G5" i="8"/>
  <c r="E6" i="8"/>
  <c r="D6" i="8"/>
  <c r="C6" i="8"/>
  <c r="B6" i="8"/>
  <c r="B2" i="8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G9" i="5"/>
  <c r="F9" i="5"/>
  <c r="F8" i="5"/>
  <c r="G8" i="5" s="1"/>
  <c r="F7" i="5"/>
  <c r="G7" i="5" s="1"/>
  <c r="F6" i="5"/>
  <c r="G6" i="5" s="1"/>
  <c r="F5" i="5"/>
  <c r="G5" i="5" s="1"/>
  <c r="F4" i="5"/>
  <c r="G4" i="5" s="1"/>
  <c r="F18" i="4"/>
  <c r="D18" i="4"/>
  <c r="H18" i="4" s="1"/>
  <c r="F17" i="4"/>
  <c r="D17" i="4"/>
  <c r="H17" i="4" s="1"/>
  <c r="F16" i="4"/>
  <c r="D16" i="4"/>
  <c r="F15" i="4"/>
  <c r="D15" i="4"/>
  <c r="H15" i="4" s="1"/>
  <c r="F14" i="4"/>
  <c r="H14" i="4" s="1"/>
  <c r="D14" i="4"/>
  <c r="H13" i="4"/>
  <c r="F13" i="4"/>
  <c r="D13" i="4"/>
  <c r="F12" i="4"/>
  <c r="D12" i="4"/>
  <c r="H12" i="4" s="1"/>
  <c r="F11" i="4"/>
  <c r="D11" i="4"/>
  <c r="H11" i="4" s="1"/>
  <c r="F10" i="4"/>
  <c r="D10" i="4"/>
  <c r="F9" i="4"/>
  <c r="D9" i="4"/>
  <c r="H9" i="4" s="1"/>
  <c r="F8" i="4"/>
  <c r="D8" i="4"/>
  <c r="F7" i="4"/>
  <c r="D7" i="4"/>
  <c r="H7" i="4" s="1"/>
  <c r="F6" i="4"/>
  <c r="D6" i="4"/>
  <c r="H5" i="4"/>
  <c r="F5" i="4"/>
  <c r="D5" i="4"/>
  <c r="F4" i="4"/>
  <c r="D4" i="4"/>
  <c r="H4" i="4" s="1"/>
  <c r="H6" i="4" l="1"/>
  <c r="H8" i="4"/>
  <c r="H16" i="4"/>
  <c r="H10" i="4"/>
  <c r="F15" i="2"/>
  <c r="G15" i="2" s="1"/>
  <c r="F14" i="2"/>
  <c r="G14" i="2" s="1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18" i="1"/>
  <c r="D18" i="1"/>
  <c r="H18" i="1" s="1"/>
  <c r="F17" i="1"/>
  <c r="D17" i="1"/>
  <c r="H17" i="1" s="1"/>
  <c r="F16" i="1"/>
  <c r="D16" i="1"/>
  <c r="H16" i="1" s="1"/>
  <c r="F15" i="1"/>
  <c r="D15" i="1"/>
  <c r="H15" i="1" s="1"/>
  <c r="F14" i="1"/>
  <c r="D14" i="1"/>
  <c r="F13" i="1"/>
  <c r="D13" i="1"/>
  <c r="H13" i="1" s="1"/>
  <c r="F12" i="1"/>
  <c r="D12" i="1"/>
  <c r="H12" i="1" s="1"/>
  <c r="F11" i="1"/>
  <c r="D11" i="1"/>
  <c r="F10" i="1"/>
  <c r="D10" i="1"/>
  <c r="H10" i="1" s="1"/>
  <c r="F9" i="1"/>
  <c r="D9" i="1"/>
  <c r="H9" i="1" s="1"/>
  <c r="F8" i="1"/>
  <c r="D8" i="1"/>
  <c r="H8" i="1" s="1"/>
  <c r="F7" i="1"/>
  <c r="D7" i="1"/>
  <c r="F6" i="1"/>
  <c r="D6" i="1"/>
  <c r="H6" i="1" s="1"/>
  <c r="F5" i="1"/>
  <c r="D5" i="1"/>
  <c r="H5" i="1" s="1"/>
  <c r="F4" i="1"/>
  <c r="D4" i="1"/>
  <c r="H4" i="1" s="1"/>
  <c r="H11" i="1" l="1"/>
  <c r="H14" i="1"/>
  <c r="H7" i="1"/>
</calcChain>
</file>

<file path=xl/sharedStrings.xml><?xml version="1.0" encoding="utf-8"?>
<sst xmlns="http://schemas.openxmlformats.org/spreadsheetml/2006/main" count="264" uniqueCount="140">
  <si>
    <t>교양과목 성적</t>
    <phoneticPr fontId="2" type="noConversion"/>
  </si>
  <si>
    <t>학번</t>
    <phoneticPr fontId="2" type="noConversion"/>
  </si>
  <si>
    <t>이름</t>
    <phoneticPr fontId="2" type="noConversion"/>
  </si>
  <si>
    <t>중간</t>
    <phoneticPr fontId="2" type="noConversion"/>
  </si>
  <si>
    <t>중간(40)</t>
    <phoneticPr fontId="2" type="noConversion"/>
  </si>
  <si>
    <t>기말</t>
    <phoneticPr fontId="2" type="noConversion"/>
  </si>
  <si>
    <t>기말(40)</t>
    <phoneticPr fontId="2" type="noConversion"/>
  </si>
  <si>
    <t>출석(20)</t>
    <phoneticPr fontId="2" type="noConversion"/>
  </si>
  <si>
    <t>합계</t>
    <phoneticPr fontId="2" type="noConversion"/>
  </si>
  <si>
    <t>이대훈</t>
    <phoneticPr fontId="2" type="noConversion"/>
  </si>
  <si>
    <t>전세인</t>
  </si>
  <si>
    <t>이송희</t>
    <phoneticPr fontId="2" type="noConversion"/>
  </si>
  <si>
    <t>전은지</t>
  </si>
  <si>
    <t>이지수</t>
    <phoneticPr fontId="2" type="noConversion"/>
  </si>
  <si>
    <t>유병재</t>
  </si>
  <si>
    <t>유준희</t>
  </si>
  <si>
    <t>유하늘</t>
  </si>
  <si>
    <t>강경문</t>
    <phoneticPr fontId="2" type="noConversion"/>
  </si>
  <si>
    <t>김다정</t>
  </si>
  <si>
    <t>김종희</t>
  </si>
  <si>
    <t>고천규</t>
  </si>
  <si>
    <t>고태헌</t>
  </si>
  <si>
    <t>황서현</t>
  </si>
  <si>
    <t>박주희</t>
  </si>
  <si>
    <t>사번</t>
    <phoneticPr fontId="2" type="noConversion"/>
  </si>
  <si>
    <t>성명</t>
    <phoneticPr fontId="2" type="noConversion"/>
  </si>
  <si>
    <t>직위</t>
    <phoneticPr fontId="2" type="noConversion"/>
  </si>
  <si>
    <t>기본급</t>
    <phoneticPr fontId="2" type="noConversion"/>
  </si>
  <si>
    <t>제수당</t>
    <phoneticPr fontId="2" type="noConversion"/>
  </si>
  <si>
    <t>상여금</t>
    <phoneticPr fontId="2" type="noConversion"/>
  </si>
  <si>
    <t>총급여</t>
    <phoneticPr fontId="2" type="noConversion"/>
  </si>
  <si>
    <t>YJ01-023</t>
  </si>
  <si>
    <t>김윤필</t>
  </si>
  <si>
    <t>부장</t>
    <phoneticPr fontId="2" type="noConversion"/>
  </si>
  <si>
    <t>YJ04-012</t>
  </si>
  <si>
    <t>이일형</t>
  </si>
  <si>
    <t>과장</t>
    <phoneticPr fontId="2" type="noConversion"/>
  </si>
  <si>
    <t>YJ11-002</t>
  </si>
  <si>
    <t>윤선영</t>
  </si>
  <si>
    <t>차장</t>
  </si>
  <si>
    <t>YJ10-021</t>
  </si>
  <si>
    <t>박김준</t>
  </si>
  <si>
    <t>대리</t>
  </si>
  <si>
    <t>YJ09-015</t>
  </si>
  <si>
    <t>최세연</t>
    <phoneticPr fontId="2" type="noConversion"/>
  </si>
  <si>
    <t>차장</t>
    <phoneticPr fontId="2" type="noConversion"/>
  </si>
  <si>
    <t>YJ13-007</t>
  </si>
  <si>
    <t>장태현</t>
    <phoneticPr fontId="2" type="noConversion"/>
  </si>
  <si>
    <t>사원</t>
    <phoneticPr fontId="2" type="noConversion"/>
  </si>
  <si>
    <t>YJ06-019</t>
  </si>
  <si>
    <t>유양선</t>
  </si>
  <si>
    <t>YJ08-004</t>
  </si>
  <si>
    <t>강종현</t>
  </si>
  <si>
    <t>대리</t>
    <phoneticPr fontId="2" type="noConversion"/>
  </si>
  <si>
    <t>YJ12-031</t>
  </si>
  <si>
    <t>김이리</t>
  </si>
  <si>
    <t>YJ12-012</t>
  </si>
  <si>
    <t>이정선</t>
    <phoneticPr fontId="2" type="noConversion"/>
  </si>
  <si>
    <t>YJ13-003</t>
  </si>
  <si>
    <t>박청국</t>
    <phoneticPr fontId="2" type="noConversion"/>
  </si>
  <si>
    <t>YJ09-001</t>
  </si>
  <si>
    <t>김평순</t>
    <phoneticPr fontId="2" type="noConversion"/>
  </si>
  <si>
    <t>영진상사 5월분 급여지급명세서</t>
    <phoneticPr fontId="2" type="noConversion"/>
  </si>
  <si>
    <t>체험일</t>
    <phoneticPr fontId="2" type="noConversion"/>
  </si>
  <si>
    <t>장소</t>
    <phoneticPr fontId="2" type="noConversion"/>
  </si>
  <si>
    <t>체험코드</t>
    <phoneticPr fontId="2" type="noConversion"/>
  </si>
  <si>
    <t>학년/반</t>
    <phoneticPr fontId="2" type="noConversion"/>
  </si>
  <si>
    <t>인솔자</t>
    <phoneticPr fontId="2" type="noConversion"/>
  </si>
  <si>
    <t>학생수</t>
    <phoneticPr fontId="2" type="noConversion"/>
  </si>
  <si>
    <t>서울직업체험학교</t>
    <phoneticPr fontId="2" type="noConversion"/>
  </si>
  <si>
    <t>PTP-49</t>
    <phoneticPr fontId="2" type="noConversion"/>
  </si>
  <si>
    <t>2학년1반</t>
    <phoneticPr fontId="2" type="noConversion"/>
  </si>
  <si>
    <t>조근우</t>
    <phoneticPr fontId="2" type="noConversion"/>
  </si>
  <si>
    <t>강화도우주센터</t>
    <phoneticPr fontId="2" type="noConversion"/>
  </si>
  <si>
    <t>KUY-81</t>
    <phoneticPr fontId="2" type="noConversion"/>
  </si>
  <si>
    <t>2학년2반</t>
  </si>
  <si>
    <t>윤석신</t>
    <phoneticPr fontId="2" type="noConversion"/>
  </si>
  <si>
    <t>영주자연체험장</t>
    <phoneticPr fontId="2" type="noConversion"/>
  </si>
  <si>
    <t>SRT-37</t>
    <phoneticPr fontId="2" type="noConversion"/>
  </si>
  <si>
    <t>2학년3반</t>
  </si>
  <si>
    <t>한서희</t>
    <phoneticPr fontId="2" type="noConversion"/>
  </si>
  <si>
    <t>인천원숭이학교</t>
    <phoneticPr fontId="2" type="noConversion"/>
  </si>
  <si>
    <t>POM-11</t>
    <phoneticPr fontId="2" type="noConversion"/>
  </si>
  <si>
    <t>2학년4반</t>
  </si>
  <si>
    <t>강신혜</t>
    <phoneticPr fontId="2" type="noConversion"/>
  </si>
  <si>
    <t>이천도자기학교</t>
    <phoneticPr fontId="2" type="noConversion"/>
  </si>
  <si>
    <t>KAC-59</t>
    <phoneticPr fontId="2" type="noConversion"/>
  </si>
  <si>
    <t>2학년5반</t>
  </si>
  <si>
    <t>박지훈</t>
    <phoneticPr fontId="2" type="noConversion"/>
  </si>
  <si>
    <t>속초바다체험장</t>
    <phoneticPr fontId="2" type="noConversion"/>
  </si>
  <si>
    <t>SBN-46</t>
    <phoneticPr fontId="2" type="noConversion"/>
  </si>
  <si>
    <t>2학년6반</t>
  </si>
  <si>
    <t>김진숙</t>
    <phoneticPr fontId="2" type="noConversion"/>
  </si>
  <si>
    <t>대관령양떼목장</t>
    <phoneticPr fontId="2" type="noConversion"/>
  </si>
  <si>
    <t>PAE-34</t>
    <phoneticPr fontId="2" type="noConversion"/>
  </si>
  <si>
    <t>1학년1반</t>
    <phoneticPr fontId="2" type="noConversion"/>
  </si>
  <si>
    <t>유희진</t>
    <phoneticPr fontId="2" type="noConversion"/>
  </si>
  <si>
    <t>임실치즈체험장</t>
    <phoneticPr fontId="2" type="noConversion"/>
  </si>
  <si>
    <t>SGV-50</t>
    <phoneticPr fontId="2" type="noConversion"/>
  </si>
  <si>
    <t>1학년2반</t>
  </si>
  <si>
    <t>이승재</t>
    <phoneticPr fontId="2" type="noConversion"/>
  </si>
  <si>
    <t>단양역사체험학교</t>
    <phoneticPr fontId="2" type="noConversion"/>
  </si>
  <si>
    <t>KMH-76</t>
    <phoneticPr fontId="2" type="noConversion"/>
  </si>
  <si>
    <t>1학년3반</t>
  </si>
  <si>
    <t>황정진</t>
    <phoneticPr fontId="2" type="noConversion"/>
  </si>
  <si>
    <t>충주곤충체험장</t>
    <phoneticPr fontId="2" type="noConversion"/>
  </si>
  <si>
    <t>KET-64</t>
    <phoneticPr fontId="2" type="noConversion"/>
  </si>
  <si>
    <t>1학년4반</t>
  </si>
  <si>
    <t>김보영</t>
    <phoneticPr fontId="2" type="noConversion"/>
  </si>
  <si>
    <t>원주산악체험장</t>
    <phoneticPr fontId="2" type="noConversion"/>
  </si>
  <si>
    <t>PIS-92</t>
    <phoneticPr fontId="2" type="noConversion"/>
  </si>
  <si>
    <t>1학년5반</t>
  </si>
  <si>
    <t>김완철</t>
    <phoneticPr fontId="2" type="noConversion"/>
  </si>
  <si>
    <t>상공초 체험 일정</t>
    <phoneticPr fontId="2" type="noConversion"/>
  </si>
  <si>
    <t>1. 산술연산자</t>
    <phoneticPr fontId="2" type="noConversion"/>
  </si>
  <si>
    <t>=B4+D4</t>
    <phoneticPr fontId="2" type="noConversion"/>
  </si>
  <si>
    <t>셀 참조하여 연산가능</t>
    <phoneticPr fontId="2" type="noConversion"/>
  </si>
  <si>
    <t>더하기</t>
    <phoneticPr fontId="2" type="noConversion"/>
  </si>
  <si>
    <t>빼기</t>
    <phoneticPr fontId="2" type="noConversion"/>
  </si>
  <si>
    <t>곱하기</t>
    <phoneticPr fontId="2" type="noConversion"/>
  </si>
  <si>
    <t>나누기</t>
    <phoneticPr fontId="2" type="noConversion"/>
  </si>
  <si>
    <t>아기상어</t>
    <phoneticPr fontId="2" type="noConversion"/>
  </si>
  <si>
    <t>엄마상어</t>
    <phoneticPr fontId="2" type="noConversion"/>
  </si>
  <si>
    <t>참조-숫자, 결과 - 숫자</t>
    <phoneticPr fontId="2" type="noConversion"/>
  </si>
  <si>
    <t>에러메세지</t>
    <phoneticPr fontId="2" type="noConversion"/>
  </si>
  <si>
    <t>2. 연결연산자</t>
    <phoneticPr fontId="2" type="noConversion"/>
  </si>
  <si>
    <t>3. 비교연산자</t>
    <phoneticPr fontId="2" type="noConversion"/>
  </si>
  <si>
    <t>&gt;</t>
    <phoneticPr fontId="2" type="noConversion"/>
  </si>
  <si>
    <t>초과</t>
    <phoneticPr fontId="2" type="noConversion"/>
  </si>
  <si>
    <t>참조-숫자,문자   결과-Bool(TRUE, FALSE)</t>
    <phoneticPr fontId="2" type="noConversion"/>
  </si>
  <si>
    <t>&gt;=</t>
  </si>
  <si>
    <t>이상</t>
    <phoneticPr fontId="2" type="noConversion"/>
  </si>
  <si>
    <t>&lt;=</t>
    <phoneticPr fontId="2" type="noConversion"/>
  </si>
  <si>
    <t>이하</t>
    <phoneticPr fontId="2" type="noConversion"/>
  </si>
  <si>
    <t>&lt;</t>
    <phoneticPr fontId="2" type="noConversion"/>
  </si>
  <si>
    <t>미만</t>
    <phoneticPr fontId="2" type="noConversion"/>
  </si>
  <si>
    <t>=</t>
    <phoneticPr fontId="2" type="noConversion"/>
  </si>
  <si>
    <t>같다</t>
    <phoneticPr fontId="2" type="noConversion"/>
  </si>
  <si>
    <t>&lt;&gt;</t>
    <phoneticPr fontId="2" type="noConversion"/>
  </si>
  <si>
    <t>다르다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</si>
</sst>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;@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7">
    <dxf>
      <fill>
        <patternFill>
          <bgColor rgb="FF00B050"/>
        </patternFill>
      </fill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color rgb="FF0070C0"/>
      </font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BDBB-13D5-4F47-BC98-BA1DC4BD8696}">
  <dimension ref="B2:I18"/>
  <sheetViews>
    <sheetView topLeftCell="A7" zoomScale="175" zoomScaleNormal="175" workbookViewId="0">
      <selection activeCell="D19" sqref="D19"/>
    </sheetView>
  </sheetViews>
  <sheetFormatPr defaultRowHeight="16.5" x14ac:dyDescent="0.3"/>
  <cols>
    <col min="5" max="5" width="10.5" bestFit="1" customWidth="1"/>
  </cols>
  <sheetData>
    <row r="2" spans="2:9" x14ac:dyDescent="0.3">
      <c r="B2">
        <f>5+3</f>
        <v>8</v>
      </c>
    </row>
    <row r="3" spans="2:9" x14ac:dyDescent="0.3">
      <c r="B3" t="s">
        <v>114</v>
      </c>
      <c r="D3" t="s">
        <v>123</v>
      </c>
    </row>
    <row r="4" spans="2:9" ht="20.25" customHeight="1" x14ac:dyDescent="0.3">
      <c r="B4">
        <v>15</v>
      </c>
      <c r="D4">
        <v>7</v>
      </c>
      <c r="G4" t="s">
        <v>121</v>
      </c>
      <c r="I4" t="s">
        <v>122</v>
      </c>
    </row>
    <row r="5" spans="2:9" ht="20.25" customHeight="1" x14ac:dyDescent="0.3">
      <c r="B5" t="s">
        <v>117</v>
      </c>
      <c r="C5" t="s">
        <v>118</v>
      </c>
      <c r="D5" t="s">
        <v>119</v>
      </c>
      <c r="E5" t="s">
        <v>120</v>
      </c>
      <c r="G5" t="e">
        <f>G4+I4</f>
        <v>#VALUE!</v>
      </c>
      <c r="H5" t="e">
        <f>B4+G4</f>
        <v>#VALUE!</v>
      </c>
      <c r="I5" t="s">
        <v>124</v>
      </c>
    </row>
    <row r="6" spans="2:9" x14ac:dyDescent="0.3">
      <c r="B6">
        <f>B4+D4</f>
        <v>22</v>
      </c>
      <c r="C6">
        <f>B4-D4</f>
        <v>8</v>
      </c>
      <c r="D6">
        <f>B4*D4</f>
        <v>105</v>
      </c>
      <c r="E6">
        <f>B4/D4</f>
        <v>2.1428571428571428</v>
      </c>
    </row>
    <row r="7" spans="2:9" x14ac:dyDescent="0.3">
      <c r="B7" s="7" t="s">
        <v>115</v>
      </c>
    </row>
    <row r="8" spans="2:9" x14ac:dyDescent="0.3">
      <c r="B8" t="s">
        <v>116</v>
      </c>
    </row>
    <row r="9" spans="2:9" x14ac:dyDescent="0.3">
      <c r="B9" t="s">
        <v>125</v>
      </c>
    </row>
    <row r="10" spans="2:9" x14ac:dyDescent="0.3">
      <c r="B10" t="str">
        <f>B4&amp;D4</f>
        <v>157</v>
      </c>
      <c r="C10" t="str">
        <f>G4&amp;I4</f>
        <v>아기상어엄마상어</v>
      </c>
      <c r="E10" t="str">
        <f>B4&amp;G4</f>
        <v>15아기상어</v>
      </c>
    </row>
    <row r="11" spans="2:9" x14ac:dyDescent="0.3">
      <c r="B11" t="s">
        <v>126</v>
      </c>
      <c r="D11" t="s">
        <v>129</v>
      </c>
    </row>
    <row r="12" spans="2:9" x14ac:dyDescent="0.3">
      <c r="B12">
        <v>10</v>
      </c>
      <c r="C12">
        <v>20</v>
      </c>
    </row>
    <row r="13" spans="2:9" x14ac:dyDescent="0.3">
      <c r="B13" t="b">
        <f>B12&gt;C12</f>
        <v>0</v>
      </c>
      <c r="C13" t="s">
        <v>127</v>
      </c>
      <c r="D13" t="s">
        <v>128</v>
      </c>
    </row>
    <row r="14" spans="2:9" x14ac:dyDescent="0.3">
      <c r="B14" t="b">
        <f>B12&gt;=C12</f>
        <v>0</v>
      </c>
      <c r="C14" t="s">
        <v>130</v>
      </c>
      <c r="D14" t="s">
        <v>131</v>
      </c>
    </row>
    <row r="15" spans="2:9" x14ac:dyDescent="0.3">
      <c r="B15" t="b">
        <f>B12&lt;=C12</f>
        <v>1</v>
      </c>
      <c r="C15" t="s">
        <v>132</v>
      </c>
      <c r="D15" t="s">
        <v>133</v>
      </c>
    </row>
    <row r="16" spans="2:9" x14ac:dyDescent="0.3">
      <c r="B16" t="b">
        <f>B12&lt;C12</f>
        <v>1</v>
      </c>
      <c r="C16" t="s">
        <v>134</v>
      </c>
      <c r="D16" t="s">
        <v>135</v>
      </c>
    </row>
    <row r="17" spans="2:4" x14ac:dyDescent="0.3">
      <c r="B17" t="b">
        <f>B12=C12</f>
        <v>0</v>
      </c>
      <c r="C17" s="7" t="s">
        <v>136</v>
      </c>
      <c r="D17" t="s">
        <v>137</v>
      </c>
    </row>
    <row r="18" spans="2:4" x14ac:dyDescent="0.3">
      <c r="B18" t="b">
        <f>B12&lt;&gt;C12</f>
        <v>1</v>
      </c>
      <c r="C18" t="s">
        <v>138</v>
      </c>
      <c r="D18" t="s">
        <v>139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8"/>
  <sheetViews>
    <sheetView workbookViewId="0">
      <selection activeCell="A4" sqref="A4:H18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conditionalFormatting sqref="A4:H18">
    <cfRule type="expression" dxfId="2" priority="1">
      <formula>$C4&gt;=60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workbookViewId="0">
      <selection activeCell="B32" sqref="B32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conditionalFormatting sqref="A4:H18">
    <cfRule type="expression" dxfId="6" priority="1">
      <formula>LEFT($A4,4)="2024"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5"/>
  <sheetViews>
    <sheetView workbookViewId="0">
      <selection activeCell="A4" sqref="A4:G15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conditionalFormatting sqref="A4:G15">
    <cfRule type="expression" dxfId="1" priority="1">
      <formula>AND($C4="차장",$G4&lt;5000000)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5"/>
  <sheetViews>
    <sheetView workbookViewId="0">
      <selection activeCell="F33" sqref="F33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conditionalFormatting sqref="A4:G15">
    <cfRule type="expression" dxfId="5" priority="1">
      <formula>AND($C4="차장",$G4&lt;5000000)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4"/>
  <sheetViews>
    <sheetView tabSelected="1" workbookViewId="0">
      <selection activeCell="G11" sqref="G1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8" t="s">
        <v>113</v>
      </c>
      <c r="B1" s="8"/>
      <c r="C1" s="8"/>
      <c r="D1" s="8"/>
      <c r="E1" s="8"/>
      <c r="F1" s="8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conditionalFormatting sqref="A4:F14">
    <cfRule type="expression" dxfId="0" priority="1">
      <formula>OR(LEFT($C4,1)="P",LEFT($C4,1)="S")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8" t="s">
        <v>113</v>
      </c>
      <c r="B1" s="8"/>
      <c r="C1" s="8"/>
      <c r="D1" s="8"/>
      <c r="E1" s="8"/>
      <c r="F1" s="8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conditionalFormatting sqref="A4:F14">
    <cfRule type="expression" dxfId="4" priority="1">
      <formula>OR(LEFT($C4,1)="P",LEFT($C4,1)="S")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수식</vt:lpstr>
      <vt:lpstr>조건부1</vt:lpstr>
      <vt:lpstr>조건부1(결과)</vt:lpstr>
      <vt:lpstr>조건부2</vt:lpstr>
      <vt:lpstr>조건부2(결과)</vt:lpstr>
      <vt:lpstr>조건부3</vt:lpstr>
      <vt:lpstr>조건부3(결과)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2020-04-05T04:14:40Z</dcterms:created>
  <dcterms:modified xsi:type="dcterms:W3CDTF">2026-09-02T12:34:47Z</dcterms:modified>
</cp:coreProperties>
</file>