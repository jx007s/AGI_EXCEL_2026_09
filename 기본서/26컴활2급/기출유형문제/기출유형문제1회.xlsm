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기출유형문제\"/>
    </mc:Choice>
  </mc:AlternateContent>
  <xr:revisionPtr revIDLastSave="0" documentId="13_ncr:1_{55B6DCC6-0C55-4749-B8F9-D9CF0E554F2C}" xr6:coauthVersionLast="47" xr6:coauthVersionMax="47" xr10:uidLastSave="{00000000-0000-0000-0000-000000000000}"/>
  <bookViews>
    <workbookView xWindow="22932" yWindow="-108" windowWidth="23256" windowHeight="12576" tabRatio="908" activeTab="6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10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9" i="7" l="1"/>
  <c r="E9" i="7"/>
  <c r="C14" i="6"/>
  <c r="D15" i="9"/>
  <c r="D16" i="9"/>
  <c r="D17" i="9"/>
  <c r="D18" i="9"/>
  <c r="D19" i="9"/>
  <c r="D20" i="9"/>
  <c r="D14" i="9"/>
  <c r="I8" i="9"/>
  <c r="I4" i="9"/>
  <c r="G4" i="9"/>
  <c r="G5" i="9"/>
  <c r="G6" i="9"/>
  <c r="G7" i="9"/>
  <c r="G8" i="9"/>
  <c r="G9" i="9"/>
  <c r="G10" i="9"/>
  <c r="G3" i="9"/>
  <c r="F4" i="9"/>
  <c r="F5" i="9"/>
  <c r="F6" i="9"/>
  <c r="F7" i="9"/>
  <c r="F8" i="9"/>
  <c r="F9" i="9"/>
  <c r="F10" i="9"/>
  <c r="F3" i="9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C8" i="6"/>
  <c r="H13" i="3"/>
  <c r="H12" i="3"/>
  <c r="H11" i="3"/>
  <c r="H10" i="3"/>
  <c r="H9" i="3"/>
  <c r="H8" i="3"/>
  <c r="H7" i="3"/>
  <c r="H6" i="3"/>
  <c r="H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D7" authorId="0" shapeId="0" xr:uid="{849D86B7-78FD-409E-B603-1A1A86DD1AE4}">
      <text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많은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회원수</t>
        </r>
      </text>
    </comment>
  </commentList>
</comments>
</file>

<file path=xl/sharedStrings.xml><?xml version="1.0" encoding="utf-8"?>
<sst xmlns="http://schemas.openxmlformats.org/spreadsheetml/2006/main" count="213" uniqueCount="164">
  <si>
    <t>Books for baby</t>
    <phoneticPr fontId="1" type="noConversion"/>
  </si>
  <si>
    <t>운영 중인 온라인 카페 현황</t>
    <phoneticPr fontId="1" type="noConversion"/>
  </si>
  <si>
    <t>카페명</t>
    <phoneticPr fontId="1" type="noConversion"/>
  </si>
  <si>
    <t>카페회장</t>
    <phoneticPr fontId="1" type="noConversion"/>
  </si>
  <si>
    <t>개설일</t>
    <phoneticPr fontId="1" type="noConversion"/>
  </si>
  <si>
    <t>카페회원</t>
    <phoneticPr fontId="1" type="noConversion"/>
  </si>
  <si>
    <t>가입비</t>
    <phoneticPr fontId="1" type="noConversion"/>
  </si>
  <si>
    <t>정기모임
참석비율</t>
    <phoneticPr fontId="1" type="noConversion"/>
  </si>
  <si>
    <t>정기모임
요일</t>
    <phoneticPr fontId="1" type="noConversion"/>
  </si>
  <si>
    <t>아루 할머니의 영어 카페</t>
    <phoneticPr fontId="1" type="noConversion"/>
  </si>
  <si>
    <t>김신숙</t>
    <phoneticPr fontId="1" type="noConversion"/>
  </si>
  <si>
    <t>화요일</t>
    <phoneticPr fontId="1" type="noConversion"/>
  </si>
  <si>
    <t>품앗이 파워</t>
    <phoneticPr fontId="1" type="noConversion"/>
  </si>
  <si>
    <t>송재영</t>
    <phoneticPr fontId="1" type="noConversion"/>
  </si>
  <si>
    <t>목요일</t>
    <phoneticPr fontId="1" type="noConversion"/>
  </si>
  <si>
    <t>나치 엄마들의 생각 키우기</t>
    <phoneticPr fontId="1" type="noConversion"/>
  </si>
  <si>
    <t>김철수</t>
    <phoneticPr fontId="1" type="noConversion"/>
  </si>
  <si>
    <t>금요일</t>
    <phoneticPr fontId="1" type="noConversion"/>
  </si>
  <si>
    <t>맘스홀 홈스쿨</t>
    <phoneticPr fontId="1" type="noConversion"/>
  </si>
  <si>
    <t>박명은</t>
    <phoneticPr fontId="1" type="noConversion"/>
  </si>
  <si>
    <t>토요일</t>
    <phoneticPr fontId="1" type="noConversion"/>
  </si>
  <si>
    <t>녹색 자전거</t>
    <phoneticPr fontId="1" type="noConversion"/>
  </si>
  <si>
    <t>이재호</t>
    <phoneticPr fontId="1" type="noConversion"/>
  </si>
  <si>
    <t>토요일</t>
    <phoneticPr fontId="1" type="noConversion"/>
  </si>
  <si>
    <t>플루트 찬송</t>
    <phoneticPr fontId="1" type="noConversion"/>
  </si>
  <si>
    <t>황가연</t>
    <phoneticPr fontId="1" type="noConversion"/>
  </si>
  <si>
    <t>일요일</t>
    <phoneticPr fontId="1" type="noConversion"/>
  </si>
  <si>
    <t>봉사의 기쁨</t>
    <phoneticPr fontId="1" type="noConversion"/>
  </si>
  <si>
    <t>최한나</t>
    <phoneticPr fontId="1" type="noConversion"/>
  </si>
  <si>
    <t>수요일</t>
    <phoneticPr fontId="1" type="noConversion"/>
  </si>
  <si>
    <t>신입사원 채용 시험 결과</t>
  </si>
  <si>
    <t>응시번호</t>
  </si>
  <si>
    <t>성명</t>
  </si>
  <si>
    <t>전공</t>
  </si>
  <si>
    <t>필기점수</t>
  </si>
  <si>
    <t>실기점수</t>
  </si>
  <si>
    <t>면접점수</t>
  </si>
  <si>
    <t>총점</t>
  </si>
  <si>
    <t>A11-587</t>
    <phoneticPr fontId="3" type="noConversion"/>
  </si>
  <si>
    <t>유효선</t>
  </si>
  <si>
    <t>경영학과</t>
  </si>
  <si>
    <t>E12-201</t>
    <phoneticPr fontId="3" type="noConversion"/>
  </si>
  <si>
    <t>이성일</t>
  </si>
  <si>
    <t>경제학과</t>
  </si>
  <si>
    <t>A20-890</t>
    <phoneticPr fontId="3" type="noConversion"/>
  </si>
  <si>
    <t>조인선</t>
  </si>
  <si>
    <t>무역학과</t>
  </si>
  <si>
    <t>B13-850</t>
    <phoneticPr fontId="3" type="noConversion"/>
  </si>
  <si>
    <t>손영자</t>
  </si>
  <si>
    <t>C45-560</t>
    <phoneticPr fontId="3" type="noConversion"/>
  </si>
  <si>
    <t>박종찬</t>
  </si>
  <si>
    <t>A59-860</t>
    <phoneticPr fontId="3" type="noConversion"/>
  </si>
  <si>
    <t>김준호</t>
  </si>
  <si>
    <t>B20-963</t>
    <phoneticPr fontId="3" type="noConversion"/>
  </si>
  <si>
    <t>정세라</t>
  </si>
  <si>
    <t>A34-620</t>
    <phoneticPr fontId="3" type="noConversion"/>
  </si>
  <si>
    <t>최진호</t>
  </si>
  <si>
    <t>A96-741</t>
    <phoneticPr fontId="3" type="noConversion"/>
  </si>
  <si>
    <t>정서영</t>
  </si>
  <si>
    <t>[표1]</t>
    <phoneticPr fontId="3" type="noConversion"/>
  </si>
  <si>
    <t>이름</t>
    <phoneticPr fontId="3" type="noConversion"/>
  </si>
  <si>
    <t>영어</t>
    <phoneticPr fontId="3" type="noConversion"/>
  </si>
  <si>
    <t>소속</t>
    <phoneticPr fontId="3" type="noConversion"/>
  </si>
  <si>
    <t>서초</t>
    <phoneticPr fontId="3" type="noConversion"/>
  </si>
  <si>
    <t>방배</t>
    <phoneticPr fontId="3" type="noConversion"/>
  </si>
  <si>
    <t>[표3]</t>
    <phoneticPr fontId="3" type="noConversion"/>
  </si>
  <si>
    <t>판매실적</t>
    <phoneticPr fontId="3" type="noConversion"/>
  </si>
  <si>
    <t>지역</t>
    <phoneticPr fontId="3" type="noConversion"/>
  </si>
  <si>
    <t>교재명</t>
    <phoneticPr fontId="3" type="noConversion"/>
  </si>
  <si>
    <t>판매량</t>
    <phoneticPr fontId="3" type="noConversion"/>
  </si>
  <si>
    <t>판매금액</t>
    <phoneticPr fontId="3" type="noConversion"/>
  </si>
  <si>
    <t>서울</t>
    <phoneticPr fontId="3" type="noConversion"/>
  </si>
  <si>
    <t>컴활1급</t>
    <phoneticPr fontId="3" type="noConversion"/>
  </si>
  <si>
    <t>판매가</t>
    <phoneticPr fontId="3" type="noConversion"/>
  </si>
  <si>
    <t>청주</t>
    <phoneticPr fontId="3" type="noConversion"/>
  </si>
  <si>
    <t>워드1급</t>
    <phoneticPr fontId="3" type="noConversion"/>
  </si>
  <si>
    <t>59사</t>
    <phoneticPr fontId="3" type="noConversion"/>
  </si>
  <si>
    <t>부산</t>
    <phoneticPr fontId="3" type="noConversion"/>
  </si>
  <si>
    <t>컴활2급</t>
    <phoneticPr fontId="3" type="noConversion"/>
  </si>
  <si>
    <t>워드2급</t>
    <phoneticPr fontId="3" type="noConversion"/>
  </si>
  <si>
    <t>광주</t>
    <phoneticPr fontId="3" type="noConversion"/>
  </si>
  <si>
    <t>강릉</t>
    <phoneticPr fontId="3" type="noConversion"/>
  </si>
  <si>
    <t>제로</t>
    <phoneticPr fontId="3" type="noConversion"/>
  </si>
  <si>
    <t>대구</t>
    <phoneticPr fontId="3" type="noConversion"/>
  </si>
  <si>
    <t>대전</t>
    <phoneticPr fontId="3" type="noConversion"/>
  </si>
  <si>
    <t>입사 시험 평가 점수</t>
    <phoneticPr fontId="3" type="noConversion"/>
  </si>
  <si>
    <t>수학</t>
    <phoneticPr fontId="3" type="noConversion"/>
  </si>
  <si>
    <t>면접점수</t>
    <phoneticPr fontId="3" type="noConversion"/>
  </si>
  <si>
    <t>평가</t>
    <phoneticPr fontId="3" type="noConversion"/>
  </si>
  <si>
    <t>고은비</t>
    <phoneticPr fontId="3" type="noConversion"/>
  </si>
  <si>
    <t>김시진</t>
    <phoneticPr fontId="3" type="noConversion"/>
  </si>
  <si>
    <t>김민영</t>
    <phoneticPr fontId="3" type="noConversion"/>
  </si>
  <si>
    <t>조아라</t>
    <phoneticPr fontId="3" type="noConversion"/>
  </si>
  <si>
    <t>이성철</t>
    <phoneticPr fontId="3" type="noConversion"/>
  </si>
  <si>
    <t>박승진</t>
    <phoneticPr fontId="3" type="noConversion"/>
  </si>
  <si>
    <t>상품명</t>
    <phoneticPr fontId="3" type="noConversion"/>
  </si>
  <si>
    <t>매입수량</t>
    <phoneticPr fontId="3" type="noConversion"/>
  </si>
  <si>
    <t>매출수량</t>
    <phoneticPr fontId="3" type="noConversion"/>
  </si>
  <si>
    <t>재고수량</t>
    <phoneticPr fontId="3" type="noConversion"/>
  </si>
  <si>
    <t>WOW-01</t>
    <phoneticPr fontId="3" type="noConversion"/>
  </si>
  <si>
    <t>TALK-01</t>
    <phoneticPr fontId="3" type="noConversion"/>
  </si>
  <si>
    <t>WOW-03</t>
  </si>
  <si>
    <t>SALT-01</t>
    <phoneticPr fontId="3" type="noConversion"/>
  </si>
  <si>
    <t>TALK-02</t>
  </si>
  <si>
    <t>SHA-02</t>
  </si>
  <si>
    <t>[표2]</t>
    <phoneticPr fontId="3" type="noConversion"/>
  </si>
  <si>
    <t>[표4]</t>
    <phoneticPr fontId="3" type="noConversion"/>
  </si>
  <si>
    <t xml:space="preserve">서울 재고 현황 </t>
    <phoneticPr fontId="3" type="noConversion"/>
  </si>
  <si>
    <t>SHA-01</t>
    <phoneticPr fontId="3" type="noConversion"/>
  </si>
  <si>
    <t>WOW-02</t>
  </si>
  <si>
    <t>TALK-03</t>
  </si>
  <si>
    <t>MAT-01</t>
    <phoneticPr fontId="3" type="noConversion"/>
  </si>
  <si>
    <t>MNA-02</t>
    <phoneticPr fontId="3" type="noConversion"/>
  </si>
  <si>
    <t>순이익 계산</t>
    <phoneticPr fontId="3" type="noConversion"/>
  </si>
  <si>
    <t>제조원가</t>
    <phoneticPr fontId="3" type="noConversion"/>
  </si>
  <si>
    <t>판매가</t>
    <phoneticPr fontId="3" type="noConversion"/>
  </si>
  <si>
    <t>초기투자비용</t>
    <phoneticPr fontId="3" type="noConversion"/>
  </si>
  <si>
    <t>홍보비용</t>
    <phoneticPr fontId="3" type="noConversion"/>
  </si>
  <si>
    <t>판매량</t>
    <phoneticPr fontId="3" type="noConversion"/>
  </si>
  <si>
    <t>순이익금</t>
    <phoneticPr fontId="3" type="noConversion"/>
  </si>
  <si>
    <t>판매량과 판매가 변동에 따른 순이익금 계산표</t>
    <phoneticPr fontId="3" type="noConversion"/>
  </si>
  <si>
    <t>판 매 량</t>
    <phoneticPr fontId="3" type="noConversion"/>
  </si>
  <si>
    <t>[표1]</t>
    <phoneticPr fontId="3" type="noConversion"/>
  </si>
  <si>
    <t>12월 문구 생산 현황</t>
    <phoneticPr fontId="3" type="noConversion"/>
  </si>
  <si>
    <t xml:space="preserve">품명 </t>
  </si>
  <si>
    <t>수량</t>
  </si>
  <si>
    <t>원가</t>
  </si>
  <si>
    <t>불량률</t>
  </si>
  <si>
    <t>생산비용</t>
    <phoneticPr fontId="3" type="noConversion"/>
  </si>
  <si>
    <t>목표매출액</t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</si>
  <si>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</si>
  <si>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</si>
  <si>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</si>
  <si>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</si>
  <si>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</si>
  <si>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</si>
  <si>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평      균</t>
    <phoneticPr fontId="3" type="noConversion"/>
  </si>
  <si>
    <t>분야별 사설학원 현황</t>
    <phoneticPr fontId="3" type="noConversion"/>
  </si>
  <si>
    <t>(단위: 명)</t>
    <phoneticPr fontId="3" type="noConversion"/>
  </si>
  <si>
    <t>분야</t>
    <phoneticPr fontId="3" type="noConversion"/>
  </si>
  <si>
    <t>학원 수</t>
    <phoneticPr fontId="3" type="noConversion"/>
  </si>
  <si>
    <t>수강자 수</t>
    <phoneticPr fontId="3" type="noConversion"/>
  </si>
  <si>
    <t>강사 수</t>
    <phoneticPr fontId="3" type="noConversion"/>
  </si>
  <si>
    <t>입시학원</t>
    <phoneticPr fontId="3" type="noConversion"/>
  </si>
  <si>
    <t>어학원</t>
    <phoneticPr fontId="3" type="noConversion"/>
  </si>
  <si>
    <t>음악</t>
    <phoneticPr fontId="3" type="noConversion"/>
  </si>
  <si>
    <t>컴퓨터</t>
    <phoneticPr fontId="3" type="noConversion"/>
  </si>
  <si>
    <t>요리</t>
    <phoneticPr fontId="3" type="noConversion"/>
  </si>
  <si>
    <t>운동</t>
    <phoneticPr fontId="3" type="noConversion"/>
  </si>
  <si>
    <t>미술</t>
    <phoneticPr fontId="3" type="noConversion"/>
  </si>
  <si>
    <t>전체 평균 - 서초 평균</t>
    <phoneticPr fontId="3" type="noConversion"/>
  </si>
  <si>
    <t>영어순위</t>
    <phoneticPr fontId="3" type="noConversion"/>
  </si>
  <si>
    <t>성적우수자</t>
    <phoneticPr fontId="3" type="noConversion"/>
  </si>
  <si>
    <t>김민아</t>
    <phoneticPr fontId="3" type="noConversion"/>
  </si>
  <si>
    <t>송미준</t>
    <phoneticPr fontId="3" type="noConversion"/>
  </si>
  <si>
    <r>
      <t>[표5]</t>
    </r>
    <r>
      <rPr>
        <sz val="11"/>
        <color theme="1"/>
        <rFont val="맑은 고딕"/>
        <family val="3"/>
        <charset val="129"/>
        <scheme val="minor"/>
      </rPr>
      <t xml:space="preserve"> 도서 할인목록</t>
    </r>
    <phoneticPr fontId="3" type="noConversion"/>
  </si>
  <si>
    <t>지점</t>
    <phoneticPr fontId="1" type="noConversion"/>
  </si>
  <si>
    <t>노량진</t>
    <phoneticPr fontId="1" type="noConversion"/>
  </si>
  <si>
    <t>종로</t>
    <phoneticPr fontId="1" type="noConversion"/>
  </si>
  <si>
    <t>강남</t>
    <phoneticPr fontId="1" type="noConversion"/>
  </si>
  <si>
    <t>W*</t>
    <phoneticPr fontId="1" type="noConversion"/>
  </si>
  <si>
    <t>T*</t>
    <phoneticPr fontId="1" type="noConversion"/>
  </si>
  <si>
    <t>S*</t>
    <phoneticPr fontId="1" type="noConversion"/>
  </si>
  <si>
    <t>M*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</si>
</sst>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7" formatCode="&quot;₩&quot;#,##0"/>
    <numFmt numFmtId="178" formatCode="0.0&quot;%&quot;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7"/>
      <color theme="1"/>
      <name val="궁서"/>
      <family val="1"/>
      <charset val="129"/>
    </font>
    <font>
      <sz val="11"/>
      <color rgb="FF7030A0"/>
      <name val="맑은 고딕"/>
      <family val="2"/>
      <charset val="129"/>
      <scheme val="minor"/>
    </font>
    <font>
      <sz val="11"/>
      <color rgb="FF7030A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177" fontId="4" fillId="0" borderId="1" xfId="2" applyNumberFormat="1" applyFont="1" applyBorder="1" applyAlignment="1"/>
    <xf numFmtId="0" fontId="4" fillId="0" borderId="1" xfId="2" applyNumberFormat="1" applyFont="1" applyBorder="1" applyAlignment="1"/>
    <xf numFmtId="177" fontId="5" fillId="0" borderId="1" xfId="2" applyNumberFormat="1" applyFont="1" applyFill="1" applyBorder="1" applyAlignment="1"/>
    <xf numFmtId="0" fontId="4" fillId="0" borderId="0" xfId="0" applyFont="1" applyBorder="1">
      <alignment vertical="center"/>
    </xf>
    <xf numFmtId="42" fontId="5" fillId="0" borderId="0" xfId="2" applyFont="1" applyBorder="1" applyAlignment="1"/>
    <xf numFmtId="42" fontId="5" fillId="0" borderId="0" xfId="2" applyFont="1" applyAlignment="1"/>
    <xf numFmtId="0" fontId="5" fillId="0" borderId="0" xfId="0" applyFont="1" applyAlignment="1">
      <alignment horizontal="center"/>
    </xf>
    <xf numFmtId="177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1" applyNumberFormat="1" applyFont="1" applyBorder="1">
      <alignment vertical="center"/>
    </xf>
    <xf numFmtId="0" fontId="4" fillId="0" borderId="15" xfId="1" applyNumberFormat="1" applyFont="1" applyBorder="1">
      <alignment vertical="center"/>
    </xf>
    <xf numFmtId="0" fontId="4" fillId="0" borderId="16" xfId="1" applyNumberFormat="1" applyFont="1" applyBorder="1">
      <alignment vertical="center"/>
    </xf>
    <xf numFmtId="0" fontId="4" fillId="0" borderId="18" xfId="0" applyFont="1" applyBorder="1">
      <alignment vertical="center"/>
    </xf>
    <xf numFmtId="0" fontId="4" fillId="0" borderId="19" xfId="1" applyNumberFormat="1" applyFont="1" applyBorder="1">
      <alignment vertical="center"/>
    </xf>
    <xf numFmtId="0" fontId="4" fillId="0" borderId="1" xfId="1" applyNumberFormat="1" applyFont="1" applyBorder="1">
      <alignment vertical="center"/>
    </xf>
    <xf numFmtId="0" fontId="4" fillId="0" borderId="20" xfId="1" applyNumberFormat="1" applyFont="1" applyBorder="1">
      <alignment vertical="center"/>
    </xf>
    <xf numFmtId="0" fontId="4" fillId="0" borderId="22" xfId="0" applyFont="1" applyBorder="1">
      <alignment vertical="center"/>
    </xf>
    <xf numFmtId="0" fontId="4" fillId="0" borderId="23" xfId="1" applyNumberFormat="1" applyFont="1" applyBorder="1">
      <alignment vertical="center"/>
    </xf>
    <xf numFmtId="0" fontId="4" fillId="0" borderId="24" xfId="1" applyNumberFormat="1" applyFont="1" applyBorder="1">
      <alignment vertical="center"/>
    </xf>
    <xf numFmtId="0" fontId="4" fillId="0" borderId="25" xfId="1" applyNumberFormat="1" applyFont="1" applyBorder="1">
      <alignment vertical="center"/>
    </xf>
    <xf numFmtId="0" fontId="5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41" fontId="5" fillId="0" borderId="1" xfId="1" applyFont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4" fillId="0" borderId="1" xfId="0" applyNumberFormat="1" applyFon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41" fontId="0" fillId="0" borderId="1" xfId="0" applyNumberFormat="1" applyBorder="1">
      <alignment vertical="center"/>
    </xf>
    <xf numFmtId="41" fontId="0" fillId="0" borderId="1" xfId="1" applyFont="1" applyFill="1" applyBorder="1">
      <alignment vertical="center"/>
    </xf>
    <xf numFmtId="0" fontId="6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 textRotation="255"/>
    </xf>
    <xf numFmtId="0" fontId="4" fillId="0" borderId="17" xfId="0" applyFont="1" applyBorder="1" applyAlignment="1">
      <alignment horizontal="center" vertical="center" textRotation="255"/>
    </xf>
    <xf numFmtId="0" fontId="4" fillId="0" borderId="21" xfId="0" applyFont="1" applyBorder="1" applyAlignment="1">
      <alignment horizontal="center" vertical="center" textRotation="255"/>
    </xf>
    <xf numFmtId="0" fontId="7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</cellXfs>
  <cellStyles count="3"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400" b="1">
                <a:latin typeface="궁서체" panose="02030609000101010101" pitchFamily="17" charset="-127"/>
                <a:ea typeface="궁서체" panose="02030609000101010101" pitchFamily="17" charset="-127"/>
              </a:rPr>
              <a:t>분야별 학원수와 수강자수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학원 수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차트작업!$B$3:$B$9</c:f>
              <c:numCache>
                <c:formatCode>_(* #,##0_);_(* \(#,##0\);_(* "-"_);_(@_)</c:formatCode>
                <c:ptCount val="7"/>
                <c:pt idx="0">
                  <c:v>4270</c:v>
                </c:pt>
                <c:pt idx="1">
                  <c:v>5500</c:v>
                </c:pt>
                <c:pt idx="2">
                  <c:v>1597</c:v>
                </c:pt>
                <c:pt idx="3">
                  <c:v>2984</c:v>
                </c:pt>
                <c:pt idx="4">
                  <c:v>670</c:v>
                </c:pt>
                <c:pt idx="5">
                  <c:v>3890</c:v>
                </c:pt>
                <c:pt idx="6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A9-4D8C-A559-0F1C456A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7937919"/>
        <c:axId val="567937503"/>
      </c:barChart>
      <c:lineChart>
        <c:grouping val="standard"/>
        <c:varyColors val="0"/>
        <c:ser>
          <c:idx val="1"/>
          <c:order val="1"/>
          <c:tx>
            <c:strRef>
              <c:f>차트작업!$C$2</c:f>
              <c:strCache>
                <c:ptCount val="1"/>
                <c:pt idx="0">
                  <c:v>수강자 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A9-4D8C-A559-0F1C456AF6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차트작업!$A$3:$A$9</c:f>
              <c:strCache>
                <c:ptCount val="7"/>
                <c:pt idx="0">
                  <c:v>입시학원</c:v>
                </c:pt>
                <c:pt idx="1">
                  <c:v>어학원</c:v>
                </c:pt>
                <c:pt idx="2">
                  <c:v>음악</c:v>
                </c:pt>
                <c:pt idx="3">
                  <c:v>컴퓨터</c:v>
                </c:pt>
                <c:pt idx="4">
                  <c:v>요리</c:v>
                </c:pt>
                <c:pt idx="5">
                  <c:v>운동</c:v>
                </c:pt>
                <c:pt idx="6">
                  <c:v>미술</c:v>
                </c:pt>
              </c:strCache>
            </c:strRef>
          </c:cat>
          <c:val>
            <c:numRef>
              <c:f>차트작업!$C$3:$C$9</c:f>
              <c:numCache>
                <c:formatCode>_(* #,##0_);_(* \(#,##0\);_(* "-"_);_(@_)</c:formatCode>
                <c:ptCount val="7"/>
                <c:pt idx="0">
                  <c:v>809000</c:v>
                </c:pt>
                <c:pt idx="1">
                  <c:v>1766000</c:v>
                </c:pt>
                <c:pt idx="2">
                  <c:v>526000</c:v>
                </c:pt>
                <c:pt idx="3">
                  <c:v>985000</c:v>
                </c:pt>
                <c:pt idx="4">
                  <c:v>51000</c:v>
                </c:pt>
                <c:pt idx="5">
                  <c:v>672000</c:v>
                </c:pt>
                <c:pt idx="6">
                  <c:v>489000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A9-4D8C-A559-0F1C456AF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578047"/>
        <c:axId val="669582207"/>
      </c:lineChart>
      <c:catAx>
        <c:axId val="567937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937503"/>
        <c:crosses val="autoZero"/>
        <c:auto val="1"/>
        <c:lblAlgn val="ctr"/>
        <c:lblOffset val="100"/>
        <c:noMultiLvlLbl val="0"/>
      </c:catAx>
      <c:valAx>
        <c:axId val="56793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67937919"/>
        <c:crosses val="autoZero"/>
        <c:crossBetween val="between"/>
      </c:valAx>
      <c:valAx>
        <c:axId val="669582207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9578047"/>
        <c:crosses val="max"/>
        <c:crossBetween val="between"/>
      </c:valAx>
      <c:catAx>
        <c:axId val="6695780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958220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</xdr:colOff>
      <xdr:row>3</xdr:row>
      <xdr:rowOff>38100</xdr:rowOff>
    </xdr:from>
    <xdr:to>
      <xdr:col>6</xdr:col>
      <xdr:colOff>655320</xdr:colOff>
      <xdr:row>4</xdr:row>
      <xdr:rowOff>190500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D420865E-7C98-45BD-A3C3-C88D17A15F61}"/>
            </a:ext>
          </a:extLst>
        </xdr:cNvPr>
        <xdr:cNvSpPr/>
      </xdr:nvSpPr>
      <xdr:spPr>
        <a:xfrm>
          <a:off x="4518660" y="678180"/>
          <a:ext cx="647700" cy="36576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6</xdr:col>
      <xdr:colOff>15240</xdr:colOff>
      <xdr:row>6</xdr:row>
      <xdr:rowOff>30480</xdr:rowOff>
    </xdr:from>
    <xdr:to>
      <xdr:col>6</xdr:col>
      <xdr:colOff>678180</xdr:colOff>
      <xdr:row>7</xdr:row>
      <xdr:rowOff>198120</xdr:rowOff>
    </xdr:to>
    <xdr:sp macro="[0]!서식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4C2D1E31-7F92-48C4-BC23-8C1F99A8A4C7}"/>
            </a:ext>
          </a:extLst>
        </xdr:cNvPr>
        <xdr:cNvSpPr/>
      </xdr:nvSpPr>
      <xdr:spPr>
        <a:xfrm>
          <a:off x="4526280" y="1310640"/>
          <a:ext cx="66294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10</xdr:row>
      <xdr:rowOff>20955</xdr:rowOff>
    </xdr:from>
    <xdr:to>
      <xdr:col>8</xdr:col>
      <xdr:colOff>645795</xdr:colOff>
      <xdr:row>27</xdr:row>
      <xdr:rowOff>205740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F147BE-682E-4D0B-977B-1D5694904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6.5" x14ac:dyDescent="0.3"/>
  <cols>
    <col min="2" max="2" width="28.875" customWidth="1"/>
    <col min="3" max="3" width="13" customWidth="1"/>
  </cols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"/>
  <sheetViews>
    <sheetView workbookViewId="0">
      <selection activeCell="D17" sqref="D17"/>
    </sheetView>
  </sheetViews>
  <sheetFormatPr defaultRowHeight="16.5" x14ac:dyDescent="0.3"/>
  <cols>
    <col min="1" max="1" width="25" bestFit="1" customWidth="1"/>
    <col min="3" max="3" width="10.75" bestFit="1" customWidth="1"/>
  </cols>
  <sheetData>
    <row r="1" spans="1:7" ht="21.75" x14ac:dyDescent="0.3">
      <c r="A1" s="58" t="s">
        <v>1</v>
      </c>
      <c r="B1" s="58"/>
      <c r="C1" s="58"/>
      <c r="D1" s="58"/>
      <c r="E1" s="58"/>
      <c r="F1" s="58"/>
      <c r="G1" s="58"/>
    </row>
    <row r="3" spans="1:7" ht="33" x14ac:dyDescent="0.3">
      <c r="A3" s="59" t="s">
        <v>2</v>
      </c>
      <c r="B3" s="60" t="s">
        <v>3</v>
      </c>
      <c r="C3" s="60" t="s">
        <v>4</v>
      </c>
      <c r="D3" s="60" t="s">
        <v>5</v>
      </c>
      <c r="E3" s="60" t="s">
        <v>6</v>
      </c>
      <c r="F3" s="61" t="s">
        <v>7</v>
      </c>
      <c r="G3" s="61" t="s">
        <v>8</v>
      </c>
    </row>
    <row r="4" spans="1:7" x14ac:dyDescent="0.3">
      <c r="A4" s="42" t="s">
        <v>9</v>
      </c>
      <c r="B4" s="42" t="s">
        <v>10</v>
      </c>
      <c r="C4" s="62">
        <v>38633</v>
      </c>
      <c r="D4" s="44">
        <v>5754</v>
      </c>
      <c r="E4" s="44">
        <v>10000</v>
      </c>
      <c r="F4" s="63">
        <v>80</v>
      </c>
      <c r="G4" s="42" t="s">
        <v>11</v>
      </c>
    </row>
    <row r="5" spans="1:7" x14ac:dyDescent="0.3">
      <c r="A5" s="42" t="s">
        <v>12</v>
      </c>
      <c r="B5" s="42" t="s">
        <v>13</v>
      </c>
      <c r="C5" s="62">
        <v>39298</v>
      </c>
      <c r="D5" s="44">
        <v>3120</v>
      </c>
      <c r="E5" s="44">
        <v>0</v>
      </c>
      <c r="F5" s="63">
        <v>50.6</v>
      </c>
      <c r="G5" s="42" t="s">
        <v>14</v>
      </c>
    </row>
    <row r="6" spans="1:7" x14ac:dyDescent="0.3">
      <c r="A6" s="42" t="s">
        <v>15</v>
      </c>
      <c r="B6" s="42" t="s">
        <v>16</v>
      </c>
      <c r="C6" s="62">
        <v>39064</v>
      </c>
      <c r="D6" s="44">
        <v>4515</v>
      </c>
      <c r="E6" s="44">
        <v>5000</v>
      </c>
      <c r="F6" s="63">
        <v>48.5</v>
      </c>
      <c r="G6" s="42" t="s">
        <v>17</v>
      </c>
    </row>
    <row r="7" spans="1:7" x14ac:dyDescent="0.3">
      <c r="A7" s="42" t="s">
        <v>18</v>
      </c>
      <c r="B7" s="42" t="s">
        <v>19</v>
      </c>
      <c r="C7" s="62">
        <v>39556</v>
      </c>
      <c r="D7" s="44">
        <v>7349</v>
      </c>
      <c r="E7" s="44">
        <v>30000</v>
      </c>
      <c r="F7" s="63">
        <v>86.4</v>
      </c>
      <c r="G7" s="42" t="s">
        <v>20</v>
      </c>
    </row>
    <row r="8" spans="1:7" x14ac:dyDescent="0.3">
      <c r="A8" s="42" t="s">
        <v>21</v>
      </c>
      <c r="B8" s="42" t="s">
        <v>22</v>
      </c>
      <c r="C8" s="62">
        <v>40094</v>
      </c>
      <c r="D8" s="44">
        <v>1250</v>
      </c>
      <c r="E8" s="44">
        <v>8000</v>
      </c>
      <c r="F8" s="63">
        <v>39.200000000000003</v>
      </c>
      <c r="G8" s="42" t="s">
        <v>23</v>
      </c>
    </row>
    <row r="9" spans="1:7" x14ac:dyDescent="0.3">
      <c r="A9" s="42" t="s">
        <v>24</v>
      </c>
      <c r="B9" s="42" t="s">
        <v>25</v>
      </c>
      <c r="C9" s="62">
        <v>38142</v>
      </c>
      <c r="D9" s="44">
        <v>850</v>
      </c>
      <c r="E9" s="44">
        <v>10000</v>
      </c>
      <c r="F9" s="63">
        <v>77.2</v>
      </c>
      <c r="G9" s="42" t="s">
        <v>26</v>
      </c>
    </row>
    <row r="10" spans="1:7" x14ac:dyDescent="0.3">
      <c r="A10" s="42" t="s">
        <v>27</v>
      </c>
      <c r="B10" s="42" t="s">
        <v>28</v>
      </c>
      <c r="C10" s="62">
        <v>40245</v>
      </c>
      <c r="D10" s="44">
        <v>697</v>
      </c>
      <c r="E10" s="44">
        <v>3000</v>
      </c>
      <c r="F10" s="63">
        <v>65.099999999999994</v>
      </c>
      <c r="G10" s="42" t="s">
        <v>29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H13"/>
  <sheetViews>
    <sheetView workbookViewId="0">
      <selection activeCell="L15" sqref="L15"/>
    </sheetView>
  </sheetViews>
  <sheetFormatPr defaultRowHeight="16.5" x14ac:dyDescent="0.3"/>
  <sheetData>
    <row r="2" spans="2:8" x14ac:dyDescent="0.3">
      <c r="B2" s="1" t="s">
        <v>30</v>
      </c>
      <c r="C2" s="1"/>
      <c r="D2" s="1"/>
      <c r="E2" s="1"/>
      <c r="F2" s="1"/>
      <c r="G2" s="1"/>
      <c r="H2" s="1"/>
    </row>
    <row r="3" spans="2:8" x14ac:dyDescent="0.3">
      <c r="B3" s="1"/>
      <c r="C3" s="1"/>
      <c r="D3" s="1"/>
      <c r="E3" s="1"/>
      <c r="F3" s="1"/>
      <c r="G3" s="1"/>
      <c r="H3" s="1"/>
    </row>
    <row r="4" spans="2:8" x14ac:dyDescent="0.3">
      <c r="B4" s="2" t="s">
        <v>31</v>
      </c>
      <c r="C4" s="2" t="s">
        <v>32</v>
      </c>
      <c r="D4" s="2" t="s">
        <v>33</v>
      </c>
      <c r="E4" s="2" t="s">
        <v>34</v>
      </c>
      <c r="F4" s="2" t="s">
        <v>35</v>
      </c>
      <c r="G4" s="2" t="s">
        <v>36</v>
      </c>
      <c r="H4" s="2" t="s">
        <v>37</v>
      </c>
    </row>
    <row r="5" spans="2:8" x14ac:dyDescent="0.3">
      <c r="B5" s="2" t="s">
        <v>38</v>
      </c>
      <c r="C5" s="2" t="s">
        <v>39</v>
      </c>
      <c r="D5" s="2" t="s">
        <v>40</v>
      </c>
      <c r="E5" s="2">
        <v>90</v>
      </c>
      <c r="F5" s="2">
        <v>85</v>
      </c>
      <c r="G5" s="2">
        <v>82</v>
      </c>
      <c r="H5" s="2">
        <f t="shared" ref="H5:H13" si="0">SUM(E5:G5)</f>
        <v>257</v>
      </c>
    </row>
    <row r="6" spans="2:8" x14ac:dyDescent="0.3">
      <c r="B6" s="2" t="s">
        <v>41</v>
      </c>
      <c r="C6" s="2" t="s">
        <v>42</v>
      </c>
      <c r="D6" s="2" t="s">
        <v>43</v>
      </c>
      <c r="E6" s="2">
        <v>97</v>
      </c>
      <c r="F6" s="2">
        <v>89</v>
      </c>
      <c r="G6" s="2">
        <v>93</v>
      </c>
      <c r="H6" s="2">
        <f t="shared" si="0"/>
        <v>279</v>
      </c>
    </row>
    <row r="7" spans="2:8" x14ac:dyDescent="0.3">
      <c r="B7" s="2" t="s">
        <v>44</v>
      </c>
      <c r="C7" s="2" t="s">
        <v>45</v>
      </c>
      <c r="D7" s="2" t="s">
        <v>46</v>
      </c>
      <c r="E7" s="2">
        <v>90</v>
      </c>
      <c r="F7" s="2">
        <v>77</v>
      </c>
      <c r="G7" s="2">
        <v>87</v>
      </c>
      <c r="H7" s="2">
        <f t="shared" si="0"/>
        <v>254</v>
      </c>
    </row>
    <row r="8" spans="2:8" x14ac:dyDescent="0.3">
      <c r="B8" s="2" t="s">
        <v>47</v>
      </c>
      <c r="C8" s="2" t="s">
        <v>48</v>
      </c>
      <c r="D8" s="2" t="s">
        <v>40</v>
      </c>
      <c r="E8" s="2">
        <v>73</v>
      </c>
      <c r="F8" s="2">
        <v>64</v>
      </c>
      <c r="G8" s="2">
        <v>82</v>
      </c>
      <c r="H8" s="2">
        <f t="shared" si="0"/>
        <v>219</v>
      </c>
    </row>
    <row r="9" spans="2:8" x14ac:dyDescent="0.3">
      <c r="B9" s="2" t="s">
        <v>49</v>
      </c>
      <c r="C9" s="2" t="s">
        <v>50</v>
      </c>
      <c r="D9" s="2" t="s">
        <v>46</v>
      </c>
      <c r="E9" s="2">
        <v>82</v>
      </c>
      <c r="F9" s="2">
        <v>91</v>
      </c>
      <c r="G9" s="2">
        <v>85</v>
      </c>
      <c r="H9" s="2">
        <f t="shared" si="0"/>
        <v>258</v>
      </c>
    </row>
    <row r="10" spans="2:8" x14ac:dyDescent="0.3">
      <c r="B10" s="2" t="s">
        <v>51</v>
      </c>
      <c r="C10" s="2" t="s">
        <v>52</v>
      </c>
      <c r="D10" s="2" t="s">
        <v>40</v>
      </c>
      <c r="E10" s="2">
        <v>75</v>
      </c>
      <c r="F10" s="2">
        <v>86</v>
      </c>
      <c r="G10" s="2">
        <v>90</v>
      </c>
      <c r="H10" s="2">
        <f t="shared" si="0"/>
        <v>251</v>
      </c>
    </row>
    <row r="11" spans="2:8" x14ac:dyDescent="0.3">
      <c r="B11" s="2" t="s">
        <v>53</v>
      </c>
      <c r="C11" s="2" t="s">
        <v>54</v>
      </c>
      <c r="D11" s="2" t="s">
        <v>43</v>
      </c>
      <c r="E11" s="2">
        <v>93</v>
      </c>
      <c r="F11" s="2">
        <v>85</v>
      </c>
      <c r="G11" s="2">
        <v>88</v>
      </c>
      <c r="H11" s="2">
        <f t="shared" si="0"/>
        <v>266</v>
      </c>
    </row>
    <row r="12" spans="2:8" x14ac:dyDescent="0.3">
      <c r="B12" s="2" t="s">
        <v>55</v>
      </c>
      <c r="C12" s="2" t="s">
        <v>56</v>
      </c>
      <c r="D12" s="2" t="s">
        <v>46</v>
      </c>
      <c r="E12" s="2">
        <v>84</v>
      </c>
      <c r="F12" s="2">
        <v>74</v>
      </c>
      <c r="G12" s="2">
        <v>63</v>
      </c>
      <c r="H12" s="2">
        <f t="shared" si="0"/>
        <v>221</v>
      </c>
    </row>
    <row r="13" spans="2:8" x14ac:dyDescent="0.3">
      <c r="B13" s="2" t="s">
        <v>57</v>
      </c>
      <c r="C13" s="2" t="s">
        <v>58</v>
      </c>
      <c r="D13" s="2" t="s">
        <v>43</v>
      </c>
      <c r="E13" s="2">
        <v>77</v>
      </c>
      <c r="F13" s="2">
        <v>90</v>
      </c>
      <c r="G13" s="2">
        <v>68</v>
      </c>
      <c r="H13" s="2">
        <f t="shared" si="0"/>
        <v>235</v>
      </c>
    </row>
  </sheetData>
  <phoneticPr fontId="1" type="noConversion"/>
  <conditionalFormatting sqref="B5:H13">
    <cfRule type="expression" dxfId="0" priority="1">
      <formula>OR($D5="경영학과",$H5&gt;=260)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E7A20-B172-4597-A3A7-0214BE984FBC}">
  <dimension ref="A1:I20"/>
  <sheetViews>
    <sheetView topLeftCell="A7" zoomScale="130" zoomScaleNormal="130" workbookViewId="0">
      <selection activeCell="D14" sqref="D14:D20"/>
    </sheetView>
  </sheetViews>
  <sheetFormatPr defaultRowHeight="16.5" x14ac:dyDescent="0.3"/>
  <cols>
    <col min="4" max="4" width="12" bestFit="1" customWidth="1"/>
    <col min="5" max="5" width="8.5" bestFit="1" customWidth="1"/>
    <col min="6" max="6" width="9.375" customWidth="1"/>
    <col min="8" max="8" width="2.625" customWidth="1"/>
    <col min="9" max="9" width="19.875" bestFit="1" customWidth="1"/>
  </cols>
  <sheetData>
    <row r="1" spans="1:9" x14ac:dyDescent="0.3">
      <c r="A1" s="33" t="s">
        <v>59</v>
      </c>
      <c r="B1" s="39" t="s">
        <v>85</v>
      </c>
      <c r="C1" s="33"/>
      <c r="D1" s="33"/>
      <c r="E1" s="6"/>
      <c r="F1" s="6"/>
      <c r="G1" s="6"/>
      <c r="H1" s="6"/>
    </row>
    <row r="2" spans="1:9" x14ac:dyDescent="0.3">
      <c r="A2" s="34" t="s">
        <v>60</v>
      </c>
      <c r="B2" s="40" t="s">
        <v>62</v>
      </c>
      <c r="C2" s="34" t="s">
        <v>86</v>
      </c>
      <c r="D2" s="34" t="s">
        <v>61</v>
      </c>
      <c r="E2" s="41" t="s">
        <v>87</v>
      </c>
      <c r="F2" s="5" t="s">
        <v>151</v>
      </c>
      <c r="G2" s="5" t="s">
        <v>88</v>
      </c>
      <c r="H2" s="6"/>
      <c r="I2" s="6" t="s">
        <v>105</v>
      </c>
    </row>
    <row r="3" spans="1:9" x14ac:dyDescent="0.3">
      <c r="A3" s="34" t="s">
        <v>89</v>
      </c>
      <c r="B3" s="40" t="s">
        <v>63</v>
      </c>
      <c r="C3" s="34">
        <v>80</v>
      </c>
      <c r="D3" s="34">
        <v>65</v>
      </c>
      <c r="E3" s="41">
        <v>75</v>
      </c>
      <c r="F3" s="41" t="str">
        <f>IFERROR(CHOOSE(_xlfn.RANK.EQ(D3,$D$3:$D$10),"1등","2등","3등"),"")</f>
        <v/>
      </c>
      <c r="G3" s="34" t="str">
        <f>IF(AND(E3&gt;=70,SUM(C3:D3)&gt;=120),"합격","")</f>
        <v>합격</v>
      </c>
      <c r="H3" s="6"/>
      <c r="I3" s="38" t="s">
        <v>152</v>
      </c>
    </row>
    <row r="4" spans="1:9" x14ac:dyDescent="0.3">
      <c r="A4" s="34" t="s">
        <v>90</v>
      </c>
      <c r="B4" s="40" t="s">
        <v>64</v>
      </c>
      <c r="C4" s="34">
        <v>60</v>
      </c>
      <c r="D4" s="34">
        <v>50</v>
      </c>
      <c r="E4" s="41">
        <v>90</v>
      </c>
      <c r="F4" s="41" t="str">
        <f t="shared" ref="F4:F10" si="0">IFERROR(CHOOSE(_xlfn.RANK.EQ(D4,$D$3:$D$10),"1등","2등","3등"),"")</f>
        <v/>
      </c>
      <c r="G4" s="34" t="str">
        <f t="shared" ref="G4:G10" si="1">IF(AND(E4&gt;=70,SUM(C4:D4)&gt;=120),"합격","")</f>
        <v/>
      </c>
      <c r="H4" s="6"/>
      <c r="I4" s="41">
        <f>COUNTIFS(C3:C10,"&gt;="&amp;LARGE(C3:C10,5),D3:D10,"&gt;="&amp;LARGE(D3:D10,5))</f>
        <v>4</v>
      </c>
    </row>
    <row r="5" spans="1:9" x14ac:dyDescent="0.3">
      <c r="A5" s="34" t="s">
        <v>91</v>
      </c>
      <c r="B5" s="40" t="s">
        <v>63</v>
      </c>
      <c r="C5" s="34">
        <v>60</v>
      </c>
      <c r="D5" s="34">
        <v>70</v>
      </c>
      <c r="E5" s="41">
        <v>75</v>
      </c>
      <c r="F5" s="41" t="str">
        <f t="shared" si="0"/>
        <v/>
      </c>
      <c r="G5" s="34" t="str">
        <f t="shared" si="1"/>
        <v>합격</v>
      </c>
      <c r="H5" s="6"/>
    </row>
    <row r="6" spans="1:9" x14ac:dyDescent="0.3">
      <c r="A6" s="34" t="s">
        <v>92</v>
      </c>
      <c r="B6" s="40" t="s">
        <v>64</v>
      </c>
      <c r="C6" s="34">
        <v>50</v>
      </c>
      <c r="D6" s="34">
        <v>79</v>
      </c>
      <c r="E6" s="41">
        <v>80</v>
      </c>
      <c r="F6" s="41" t="str">
        <f t="shared" si="0"/>
        <v>2등</v>
      </c>
      <c r="G6" s="34" t="str">
        <f t="shared" si="1"/>
        <v>합격</v>
      </c>
      <c r="H6" s="6"/>
      <c r="I6" t="s">
        <v>65</v>
      </c>
    </row>
    <row r="7" spans="1:9" x14ac:dyDescent="0.3">
      <c r="A7" s="34" t="s">
        <v>93</v>
      </c>
      <c r="B7" s="40" t="s">
        <v>63</v>
      </c>
      <c r="C7" s="34">
        <v>40</v>
      </c>
      <c r="D7" s="34">
        <v>50</v>
      </c>
      <c r="E7" s="41">
        <v>65</v>
      </c>
      <c r="F7" s="41" t="str">
        <f t="shared" si="0"/>
        <v/>
      </c>
      <c r="G7" s="34" t="str">
        <f t="shared" si="1"/>
        <v/>
      </c>
      <c r="H7" s="6"/>
      <c r="I7" s="38" t="s">
        <v>150</v>
      </c>
    </row>
    <row r="8" spans="1:9" x14ac:dyDescent="0.3">
      <c r="A8" s="34" t="s">
        <v>94</v>
      </c>
      <c r="B8" s="40" t="s">
        <v>64</v>
      </c>
      <c r="C8" s="34">
        <v>70</v>
      </c>
      <c r="D8" s="34">
        <v>60</v>
      </c>
      <c r="E8" s="41">
        <v>95</v>
      </c>
      <c r="F8" s="41" t="str">
        <f t="shared" si="0"/>
        <v/>
      </c>
      <c r="G8" s="34" t="str">
        <f t="shared" si="1"/>
        <v>합격</v>
      </c>
      <c r="H8" s="6"/>
      <c r="I8" s="42">
        <f>ABS(AVERAGE(E3:E10)-DAVERAGE(A2:G10,E2,B2:B3))</f>
        <v>3.125</v>
      </c>
    </row>
    <row r="9" spans="1:9" x14ac:dyDescent="0.3">
      <c r="A9" s="41" t="s">
        <v>153</v>
      </c>
      <c r="B9" s="41" t="s">
        <v>63</v>
      </c>
      <c r="C9" s="41">
        <v>75</v>
      </c>
      <c r="D9" s="41">
        <v>85</v>
      </c>
      <c r="E9" s="41">
        <v>85</v>
      </c>
      <c r="F9" s="41" t="str">
        <f t="shared" si="0"/>
        <v>1등</v>
      </c>
      <c r="G9" s="34" t="str">
        <f t="shared" si="1"/>
        <v>합격</v>
      </c>
      <c r="H9" s="6"/>
    </row>
    <row r="10" spans="1:9" x14ac:dyDescent="0.3">
      <c r="A10" s="41" t="s">
        <v>154</v>
      </c>
      <c r="B10" s="41" t="s">
        <v>64</v>
      </c>
      <c r="C10" s="41">
        <v>85</v>
      </c>
      <c r="D10" s="41">
        <v>75</v>
      </c>
      <c r="E10" s="41">
        <v>60</v>
      </c>
      <c r="F10" s="41" t="str">
        <f t="shared" si="0"/>
        <v>3등</v>
      </c>
      <c r="G10" s="34" t="str">
        <f t="shared" si="1"/>
        <v/>
      </c>
      <c r="H10" s="6"/>
    </row>
    <row r="11" spans="1:9" x14ac:dyDescent="0.3">
      <c r="A11" s="6"/>
      <c r="B11" s="6"/>
      <c r="C11" s="6"/>
      <c r="D11" s="6"/>
      <c r="E11" s="6"/>
      <c r="F11" s="6"/>
      <c r="G11" s="6"/>
      <c r="H11" s="6"/>
    </row>
    <row r="12" spans="1:9" x14ac:dyDescent="0.3">
      <c r="A12" s="33" t="s">
        <v>106</v>
      </c>
      <c r="B12" s="39" t="s">
        <v>66</v>
      </c>
      <c r="C12" s="6"/>
      <c r="D12" s="6"/>
      <c r="E12" s="6"/>
      <c r="F12" s="6"/>
      <c r="G12" s="6"/>
    </row>
    <row r="13" spans="1:9" x14ac:dyDescent="0.3">
      <c r="A13" s="41" t="s">
        <v>67</v>
      </c>
      <c r="B13" s="41" t="s">
        <v>68</v>
      </c>
      <c r="C13" s="41" t="s">
        <v>69</v>
      </c>
      <c r="D13" s="38" t="s">
        <v>70</v>
      </c>
      <c r="E13" s="6"/>
      <c r="F13" s="33" t="s">
        <v>155</v>
      </c>
      <c r="G13" s="39"/>
    </row>
    <row r="14" spans="1:9" x14ac:dyDescent="0.3">
      <c r="A14" s="41" t="s">
        <v>71</v>
      </c>
      <c r="B14" s="41" t="s">
        <v>72</v>
      </c>
      <c r="C14" s="41">
        <v>68</v>
      </c>
      <c r="D14" s="43">
        <f>IFERROR(VLOOKUP(B14,$F$15:$G$18,2,FALSE)*C14,"판매량오류")</f>
        <v>1224000</v>
      </c>
      <c r="E14" s="6"/>
      <c r="F14" s="41" t="s">
        <v>68</v>
      </c>
      <c r="G14" s="41" t="s">
        <v>73</v>
      </c>
    </row>
    <row r="15" spans="1:9" x14ac:dyDescent="0.3">
      <c r="A15" s="41" t="s">
        <v>74</v>
      </c>
      <c r="B15" s="41" t="s">
        <v>75</v>
      </c>
      <c r="C15" s="41" t="s">
        <v>76</v>
      </c>
      <c r="D15" s="43" t="str">
        <f t="shared" ref="D15:D20" si="2">IFERROR(VLOOKUP(B15,$F$15:$G$18,2,FALSE)*C15,"판매량오류")</f>
        <v>판매량오류</v>
      </c>
      <c r="E15" s="6"/>
      <c r="F15" s="41" t="s">
        <v>75</v>
      </c>
      <c r="G15" s="43">
        <v>15000</v>
      </c>
    </row>
    <row r="16" spans="1:9" x14ac:dyDescent="0.3">
      <c r="A16" s="41" t="s">
        <v>77</v>
      </c>
      <c r="B16" s="41" t="s">
        <v>78</v>
      </c>
      <c r="C16" s="41">
        <v>70</v>
      </c>
      <c r="D16" s="43">
        <f t="shared" si="2"/>
        <v>1190000</v>
      </c>
      <c r="E16" s="6"/>
      <c r="F16" s="41" t="s">
        <v>79</v>
      </c>
      <c r="G16" s="43">
        <v>14000</v>
      </c>
    </row>
    <row r="17" spans="1:7" x14ac:dyDescent="0.3">
      <c r="A17" s="41" t="s">
        <v>80</v>
      </c>
      <c r="B17" s="41" t="s">
        <v>72</v>
      </c>
      <c r="C17" s="41">
        <v>95</v>
      </c>
      <c r="D17" s="43">
        <f t="shared" si="2"/>
        <v>1710000</v>
      </c>
      <c r="E17" s="6"/>
      <c r="F17" s="41" t="s">
        <v>72</v>
      </c>
      <c r="G17" s="43">
        <v>18000</v>
      </c>
    </row>
    <row r="18" spans="1:7" x14ac:dyDescent="0.3">
      <c r="A18" s="41" t="s">
        <v>81</v>
      </c>
      <c r="B18" s="41" t="s">
        <v>75</v>
      </c>
      <c r="C18" s="41" t="s">
        <v>82</v>
      </c>
      <c r="D18" s="43" t="str">
        <f t="shared" si="2"/>
        <v>판매량오류</v>
      </c>
      <c r="E18" s="6"/>
      <c r="F18" s="41" t="s">
        <v>78</v>
      </c>
      <c r="G18" s="43">
        <v>17000</v>
      </c>
    </row>
    <row r="19" spans="1:7" x14ac:dyDescent="0.3">
      <c r="A19" s="41" t="s">
        <v>83</v>
      </c>
      <c r="B19" s="41" t="s">
        <v>79</v>
      </c>
      <c r="C19" s="41">
        <v>39</v>
      </c>
      <c r="D19" s="43">
        <f t="shared" si="2"/>
        <v>546000</v>
      </c>
      <c r="E19" s="6"/>
      <c r="F19" s="6"/>
      <c r="G19" s="6"/>
    </row>
    <row r="20" spans="1:7" x14ac:dyDescent="0.3">
      <c r="A20" s="41" t="s">
        <v>84</v>
      </c>
      <c r="B20" s="41" t="s">
        <v>79</v>
      </c>
      <c r="C20" s="41">
        <v>50</v>
      </c>
      <c r="D20" s="43">
        <f t="shared" si="2"/>
        <v>700000</v>
      </c>
      <c r="E20" s="6"/>
      <c r="F20" s="6"/>
      <c r="G20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5A483-BBC7-4C3D-BD60-F0F72F1AE2FC}">
  <dimension ref="A1:J20"/>
  <sheetViews>
    <sheetView workbookViewId="0">
      <selection activeCell="N10" sqref="N10"/>
    </sheetView>
  </sheetViews>
  <sheetFormatPr defaultRowHeight="16.5" x14ac:dyDescent="0.3"/>
  <cols>
    <col min="6" max="6" width="2.625" customWidth="1"/>
  </cols>
  <sheetData>
    <row r="1" spans="1:10" x14ac:dyDescent="0.3">
      <c r="A1" t="s">
        <v>59</v>
      </c>
      <c r="G1" t="s">
        <v>105</v>
      </c>
      <c r="H1" t="s">
        <v>107</v>
      </c>
    </row>
    <row r="2" spans="1:10" x14ac:dyDescent="0.3">
      <c r="A2" s="42" t="s">
        <v>156</v>
      </c>
      <c r="B2" s="42" t="s">
        <v>95</v>
      </c>
      <c r="C2" s="42" t="s">
        <v>96</v>
      </c>
      <c r="D2" s="42" t="s">
        <v>97</v>
      </c>
      <c r="E2" s="42" t="s">
        <v>98</v>
      </c>
      <c r="G2" s="42" t="s">
        <v>95</v>
      </c>
      <c r="H2" s="42" t="s">
        <v>96</v>
      </c>
      <c r="I2" s="42" t="s">
        <v>97</v>
      </c>
      <c r="J2" s="42" t="s">
        <v>98</v>
      </c>
    </row>
    <row r="3" spans="1:10" x14ac:dyDescent="0.3">
      <c r="A3" s="42" t="s">
        <v>157</v>
      </c>
      <c r="B3" s="42" t="s">
        <v>99</v>
      </c>
      <c r="C3" s="45">
        <v>1000</v>
      </c>
      <c r="D3" s="45">
        <v>800</v>
      </c>
      <c r="E3" s="45">
        <f t="shared" ref="E3:E20" si="0">C3-D3</f>
        <v>200</v>
      </c>
      <c r="G3" s="44" t="s">
        <v>160</v>
      </c>
      <c r="H3" s="46">
        <v>4600</v>
      </c>
      <c r="I3" s="46">
        <v>2630</v>
      </c>
      <c r="J3" s="46">
        <v>1970</v>
      </c>
    </row>
    <row r="4" spans="1:10" x14ac:dyDescent="0.3">
      <c r="A4" s="42" t="s">
        <v>157</v>
      </c>
      <c r="B4" s="42" t="s">
        <v>100</v>
      </c>
      <c r="C4" s="45">
        <v>1000</v>
      </c>
      <c r="D4" s="45">
        <v>740</v>
      </c>
      <c r="E4" s="45">
        <f t="shared" si="0"/>
        <v>260</v>
      </c>
      <c r="G4" s="44" t="s">
        <v>161</v>
      </c>
      <c r="H4" s="46">
        <v>7500</v>
      </c>
      <c r="I4" s="46">
        <v>3540</v>
      </c>
      <c r="J4" s="46">
        <v>3960</v>
      </c>
    </row>
    <row r="5" spans="1:10" x14ac:dyDescent="0.3">
      <c r="A5" s="42" t="s">
        <v>157</v>
      </c>
      <c r="B5" s="42" t="s">
        <v>101</v>
      </c>
      <c r="C5" s="45">
        <v>1000</v>
      </c>
      <c r="D5" s="45">
        <v>640</v>
      </c>
      <c r="E5" s="45">
        <f t="shared" si="0"/>
        <v>360</v>
      </c>
      <c r="G5" s="44" t="s">
        <v>162</v>
      </c>
      <c r="H5" s="46">
        <v>3700</v>
      </c>
      <c r="I5" s="46">
        <v>2860</v>
      </c>
      <c r="J5" s="46">
        <v>840</v>
      </c>
    </row>
    <row r="6" spans="1:10" x14ac:dyDescent="0.3">
      <c r="A6" s="42" t="s">
        <v>157</v>
      </c>
      <c r="B6" s="42" t="s">
        <v>102</v>
      </c>
      <c r="C6" s="45">
        <v>1000</v>
      </c>
      <c r="D6" s="45">
        <v>950</v>
      </c>
      <c r="E6" s="45">
        <f t="shared" si="0"/>
        <v>50</v>
      </c>
      <c r="G6" s="44" t="s">
        <v>163</v>
      </c>
      <c r="H6" s="46">
        <v>1000</v>
      </c>
      <c r="I6" s="46">
        <v>200</v>
      </c>
      <c r="J6" s="46">
        <v>800</v>
      </c>
    </row>
    <row r="7" spans="1:10" x14ac:dyDescent="0.3">
      <c r="A7" s="42" t="s">
        <v>157</v>
      </c>
      <c r="B7" s="42" t="s">
        <v>103</v>
      </c>
      <c r="C7" s="45">
        <v>1000</v>
      </c>
      <c r="D7" s="45">
        <v>510</v>
      </c>
      <c r="E7" s="45">
        <f t="shared" si="0"/>
        <v>490</v>
      </c>
    </row>
    <row r="8" spans="1:10" x14ac:dyDescent="0.3">
      <c r="A8" s="42" t="s">
        <v>157</v>
      </c>
      <c r="B8" s="42" t="s">
        <v>104</v>
      </c>
      <c r="C8" s="45">
        <v>1000</v>
      </c>
      <c r="D8" s="45">
        <v>790</v>
      </c>
      <c r="E8" s="45">
        <f t="shared" si="0"/>
        <v>210</v>
      </c>
    </row>
    <row r="9" spans="1:10" x14ac:dyDescent="0.3">
      <c r="A9" s="42" t="s">
        <v>158</v>
      </c>
      <c r="B9" s="42" t="s">
        <v>108</v>
      </c>
      <c r="C9" s="45">
        <v>1200</v>
      </c>
      <c r="D9" s="45">
        <v>950</v>
      </c>
      <c r="E9" s="45">
        <f t="shared" si="0"/>
        <v>250</v>
      </c>
    </row>
    <row r="10" spans="1:10" x14ac:dyDescent="0.3">
      <c r="A10" s="42" t="s">
        <v>158</v>
      </c>
      <c r="B10" s="42" t="s">
        <v>109</v>
      </c>
      <c r="C10" s="45">
        <v>1200</v>
      </c>
      <c r="D10" s="45">
        <v>650</v>
      </c>
      <c r="E10" s="45">
        <f t="shared" si="0"/>
        <v>550</v>
      </c>
    </row>
    <row r="11" spans="1:10" x14ac:dyDescent="0.3">
      <c r="A11" s="42" t="s">
        <v>158</v>
      </c>
      <c r="B11" s="42" t="s">
        <v>100</v>
      </c>
      <c r="C11" s="45">
        <v>1500</v>
      </c>
      <c r="D11" s="45">
        <v>340</v>
      </c>
      <c r="E11" s="45">
        <f t="shared" si="0"/>
        <v>1160</v>
      </c>
    </row>
    <row r="12" spans="1:10" x14ac:dyDescent="0.3">
      <c r="A12" s="42" t="s">
        <v>158</v>
      </c>
      <c r="B12" s="42" t="s">
        <v>103</v>
      </c>
      <c r="C12" s="45">
        <v>1500</v>
      </c>
      <c r="D12" s="45">
        <v>890</v>
      </c>
      <c r="E12" s="45">
        <f t="shared" si="0"/>
        <v>610</v>
      </c>
    </row>
    <row r="13" spans="1:10" x14ac:dyDescent="0.3">
      <c r="A13" s="42" t="s">
        <v>158</v>
      </c>
      <c r="B13" s="42" t="s">
        <v>110</v>
      </c>
      <c r="C13" s="45">
        <v>1500</v>
      </c>
      <c r="D13" s="45">
        <v>680</v>
      </c>
      <c r="E13" s="45">
        <f t="shared" si="0"/>
        <v>820</v>
      </c>
    </row>
    <row r="14" spans="1:10" x14ac:dyDescent="0.3">
      <c r="A14" s="42" t="s">
        <v>158</v>
      </c>
      <c r="B14" s="42" t="s">
        <v>111</v>
      </c>
      <c r="C14" s="47">
        <v>500</v>
      </c>
      <c r="D14" s="47">
        <v>120</v>
      </c>
      <c r="E14" s="47">
        <f t="shared" si="0"/>
        <v>380</v>
      </c>
    </row>
    <row r="15" spans="1:10" x14ac:dyDescent="0.3">
      <c r="A15" s="42" t="s">
        <v>159</v>
      </c>
      <c r="B15" s="42" t="s">
        <v>99</v>
      </c>
      <c r="C15" s="45">
        <v>700</v>
      </c>
      <c r="D15" s="45">
        <v>340</v>
      </c>
      <c r="E15" s="45">
        <f t="shared" si="0"/>
        <v>360</v>
      </c>
    </row>
    <row r="16" spans="1:10" x14ac:dyDescent="0.3">
      <c r="A16" s="42" t="s">
        <v>159</v>
      </c>
      <c r="B16" s="42" t="s">
        <v>109</v>
      </c>
      <c r="C16" s="45">
        <v>700</v>
      </c>
      <c r="D16" s="45">
        <v>200</v>
      </c>
      <c r="E16" s="45">
        <f t="shared" si="0"/>
        <v>500</v>
      </c>
    </row>
    <row r="17" spans="1:5" x14ac:dyDescent="0.3">
      <c r="A17" s="42" t="s">
        <v>159</v>
      </c>
      <c r="B17" s="42" t="s">
        <v>100</v>
      </c>
      <c r="C17" s="45">
        <v>500</v>
      </c>
      <c r="D17" s="45">
        <v>150</v>
      </c>
      <c r="E17" s="45">
        <f t="shared" si="0"/>
        <v>350</v>
      </c>
    </row>
    <row r="18" spans="1:5" x14ac:dyDescent="0.3">
      <c r="A18" s="42" t="s">
        <v>159</v>
      </c>
      <c r="B18" s="42" t="s">
        <v>103</v>
      </c>
      <c r="C18" s="45">
        <v>500</v>
      </c>
      <c r="D18" s="45">
        <v>230</v>
      </c>
      <c r="E18" s="45">
        <f t="shared" si="0"/>
        <v>270</v>
      </c>
    </row>
    <row r="19" spans="1:5" x14ac:dyDescent="0.3">
      <c r="A19" s="42" t="s">
        <v>159</v>
      </c>
      <c r="B19" s="42" t="s">
        <v>108</v>
      </c>
      <c r="C19" s="45">
        <v>500</v>
      </c>
      <c r="D19" s="45">
        <v>170</v>
      </c>
      <c r="E19" s="45">
        <f t="shared" si="0"/>
        <v>330</v>
      </c>
    </row>
    <row r="20" spans="1:5" x14ac:dyDescent="0.3">
      <c r="A20" s="42" t="s">
        <v>159</v>
      </c>
      <c r="B20" s="42" t="s">
        <v>112</v>
      </c>
      <c r="C20" s="47">
        <v>500</v>
      </c>
      <c r="D20" s="47">
        <v>80</v>
      </c>
      <c r="E20" s="47">
        <f t="shared" si="0"/>
        <v>420</v>
      </c>
    </row>
  </sheetData>
  <dataConsolidate leftLabels="1" topLabels="1">
    <dataRefs count="1">
      <dataRef ref="B2:E20" sheet="분석작업-1"/>
    </dataRefs>
  </dataConsolid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20"/>
  <sheetViews>
    <sheetView workbookViewId="0">
      <selection activeCell="C14" sqref="C14:H20"/>
    </sheetView>
  </sheetViews>
  <sheetFormatPr defaultRowHeight="16.5" x14ac:dyDescent="0.3"/>
  <cols>
    <col min="1" max="1" width="2.625" customWidth="1"/>
    <col min="2" max="2" width="14.125" customWidth="1"/>
    <col min="3" max="3" width="10.125" customWidth="1"/>
    <col min="4" max="8" width="11.625" customWidth="1"/>
  </cols>
  <sheetData>
    <row r="1" spans="1:8" x14ac:dyDescent="0.3">
      <c r="A1" s="6"/>
      <c r="B1" s="6"/>
      <c r="C1" s="6"/>
      <c r="D1" s="6"/>
      <c r="E1" s="6"/>
      <c r="F1" s="6"/>
      <c r="G1" s="6"/>
      <c r="H1" s="6"/>
    </row>
    <row r="2" spans="1:8" x14ac:dyDescent="0.3">
      <c r="A2" s="6"/>
      <c r="B2" s="48" t="s">
        <v>113</v>
      </c>
      <c r="C2" s="48"/>
      <c r="D2" s="6"/>
      <c r="E2" s="6"/>
      <c r="F2" s="6"/>
      <c r="G2" s="6"/>
      <c r="H2" s="6"/>
    </row>
    <row r="3" spans="1:8" x14ac:dyDescent="0.3">
      <c r="A3" s="6"/>
      <c r="B3" s="7" t="s">
        <v>114</v>
      </c>
      <c r="C3" s="8">
        <v>2500</v>
      </c>
      <c r="D3" s="6"/>
      <c r="E3" s="6"/>
      <c r="F3" s="6"/>
      <c r="G3" s="6"/>
      <c r="H3" s="6"/>
    </row>
    <row r="4" spans="1:8" x14ac:dyDescent="0.3">
      <c r="A4" s="6"/>
      <c r="B4" s="7" t="s">
        <v>115</v>
      </c>
      <c r="C4" s="8">
        <v>3200</v>
      </c>
      <c r="D4" s="6"/>
      <c r="E4" s="6"/>
      <c r="F4" s="6"/>
      <c r="G4" s="6"/>
      <c r="H4" s="6"/>
    </row>
    <row r="5" spans="1:8" x14ac:dyDescent="0.3">
      <c r="A5" s="6"/>
      <c r="B5" s="7" t="s">
        <v>116</v>
      </c>
      <c r="C5" s="8">
        <v>500</v>
      </c>
      <c r="D5" s="6"/>
      <c r="E5" s="6"/>
      <c r="F5" s="6"/>
      <c r="G5" s="6"/>
      <c r="H5" s="6"/>
    </row>
    <row r="6" spans="1:8" x14ac:dyDescent="0.3">
      <c r="A6" s="6"/>
      <c r="B6" s="7" t="s">
        <v>117</v>
      </c>
      <c r="C6" s="8">
        <v>50</v>
      </c>
      <c r="D6" s="6"/>
      <c r="E6" s="6"/>
      <c r="F6" s="6"/>
      <c r="G6" s="6"/>
      <c r="H6" s="6"/>
    </row>
    <row r="7" spans="1:8" x14ac:dyDescent="0.3">
      <c r="A7" s="6"/>
      <c r="B7" s="7" t="s">
        <v>118</v>
      </c>
      <c r="C7" s="9">
        <v>500</v>
      </c>
      <c r="D7" s="6"/>
      <c r="E7" s="6"/>
      <c r="F7" s="6"/>
      <c r="G7" s="6"/>
      <c r="H7" s="6"/>
    </row>
    <row r="8" spans="1:8" x14ac:dyDescent="0.3">
      <c r="A8" s="6"/>
      <c r="B8" s="7" t="s">
        <v>119</v>
      </c>
      <c r="C8" s="10">
        <f>($C$4-$C$3)*$C$7-$C$5-$C$6</f>
        <v>349450</v>
      </c>
      <c r="D8" s="6"/>
      <c r="E8" s="6"/>
      <c r="F8" s="6"/>
      <c r="G8" s="6"/>
      <c r="H8" s="6"/>
    </row>
    <row r="9" spans="1:8" x14ac:dyDescent="0.3">
      <c r="A9" s="6"/>
      <c r="B9" s="6"/>
      <c r="C9" s="6"/>
      <c r="D9" s="6"/>
      <c r="E9" s="6"/>
      <c r="F9" s="6"/>
      <c r="G9" s="6"/>
      <c r="H9" s="6"/>
    </row>
    <row r="10" spans="1:8" x14ac:dyDescent="0.3">
      <c r="A10" s="6"/>
      <c r="B10" s="11"/>
      <c r="C10" s="12"/>
      <c r="D10" s="6"/>
      <c r="E10" s="6"/>
      <c r="F10" s="6"/>
      <c r="G10" s="6"/>
      <c r="H10" s="6"/>
    </row>
    <row r="11" spans="1:8" x14ac:dyDescent="0.3">
      <c r="A11" s="6"/>
      <c r="B11" s="49" t="s">
        <v>120</v>
      </c>
      <c r="C11" s="50"/>
      <c r="D11" s="50"/>
      <c r="E11" s="50"/>
      <c r="F11" s="50"/>
      <c r="G11" s="50"/>
      <c r="H11" s="51"/>
    </row>
    <row r="12" spans="1:8" ht="17.25" thickBot="1" x14ac:dyDescent="0.35">
      <c r="A12" s="6"/>
      <c r="B12" s="6"/>
      <c r="C12" s="13"/>
      <c r="D12" s="14"/>
      <c r="E12" s="14"/>
      <c r="F12" s="14"/>
      <c r="G12" s="14"/>
      <c r="H12" s="14"/>
    </row>
    <row r="13" spans="1:8" ht="17.25" thickBot="1" x14ac:dyDescent="0.35">
      <c r="A13" s="6"/>
      <c r="B13" s="6"/>
      <c r="C13" s="6"/>
      <c r="D13" s="52" t="s">
        <v>121</v>
      </c>
      <c r="E13" s="53"/>
      <c r="F13" s="53"/>
      <c r="G13" s="53"/>
      <c r="H13" s="54"/>
    </row>
    <row r="14" spans="1:8" ht="17.25" thickBot="1" x14ac:dyDescent="0.35">
      <c r="A14" s="6"/>
      <c r="B14" s="6"/>
      <c r="C14" s="15">
        <f>($C$4-$C$3)*$C$7-$C$5-$C$6</f>
        <v>349450</v>
      </c>
      <c r="D14" s="16">
        <v>300</v>
      </c>
      <c r="E14" s="17">
        <v>400</v>
      </c>
      <c r="F14" s="17">
        <v>500</v>
      </c>
      <c r="G14" s="17">
        <v>600</v>
      </c>
      <c r="H14" s="18">
        <v>700</v>
      </c>
    </row>
    <row r="15" spans="1:8" x14ac:dyDescent="0.3">
      <c r="A15" s="6"/>
      <c r="B15" s="55" t="s">
        <v>115</v>
      </c>
      <c r="C15" s="19">
        <v>2500</v>
      </c>
      <c r="D15" s="20">
        <f t="dataTable" ref="D15:H20" dt2D="1" dtr="1" r1="C7" r2="C4"/>
        <v>-550</v>
      </c>
      <c r="E15" s="21">
        <v>-550</v>
      </c>
      <c r="F15" s="21">
        <v>-550</v>
      </c>
      <c r="G15" s="21">
        <v>-550</v>
      </c>
      <c r="H15" s="22">
        <v>-550</v>
      </c>
    </row>
    <row r="16" spans="1:8" x14ac:dyDescent="0.3">
      <c r="A16" s="6"/>
      <c r="B16" s="56"/>
      <c r="C16" s="23">
        <v>3000</v>
      </c>
      <c r="D16" s="24">
        <v>149450</v>
      </c>
      <c r="E16" s="25">
        <v>199450</v>
      </c>
      <c r="F16" s="25">
        <v>249450</v>
      </c>
      <c r="G16" s="25">
        <v>299450</v>
      </c>
      <c r="H16" s="26">
        <v>349450</v>
      </c>
    </row>
    <row r="17" spans="1:8" x14ac:dyDescent="0.3">
      <c r="A17" s="6"/>
      <c r="B17" s="56"/>
      <c r="C17" s="23">
        <v>3500</v>
      </c>
      <c r="D17" s="24">
        <v>299450</v>
      </c>
      <c r="E17" s="25">
        <v>399450</v>
      </c>
      <c r="F17" s="25">
        <v>499450</v>
      </c>
      <c r="G17" s="25">
        <v>599450</v>
      </c>
      <c r="H17" s="26">
        <v>699450</v>
      </c>
    </row>
    <row r="18" spans="1:8" x14ac:dyDescent="0.3">
      <c r="A18" s="6"/>
      <c r="B18" s="56"/>
      <c r="C18" s="23">
        <v>4000</v>
      </c>
      <c r="D18" s="24">
        <v>449450</v>
      </c>
      <c r="E18" s="25">
        <v>599450</v>
      </c>
      <c r="F18" s="25">
        <v>749450</v>
      </c>
      <c r="G18" s="25">
        <v>899450</v>
      </c>
      <c r="H18" s="26">
        <v>1049450</v>
      </c>
    </row>
    <row r="19" spans="1:8" x14ac:dyDescent="0.3">
      <c r="A19" s="6"/>
      <c r="B19" s="56"/>
      <c r="C19" s="23">
        <v>4500</v>
      </c>
      <c r="D19" s="24">
        <v>599450</v>
      </c>
      <c r="E19" s="25">
        <v>799450</v>
      </c>
      <c r="F19" s="25">
        <v>999450</v>
      </c>
      <c r="G19" s="25">
        <v>1199450</v>
      </c>
      <c r="H19" s="26">
        <v>1399450</v>
      </c>
    </row>
    <row r="20" spans="1:8" ht="17.25" thickBot="1" x14ac:dyDescent="0.35">
      <c r="A20" s="6"/>
      <c r="B20" s="57"/>
      <c r="C20" s="27">
        <v>5000</v>
      </c>
      <c r="D20" s="28">
        <v>749450</v>
      </c>
      <c r="E20" s="29">
        <v>999450</v>
      </c>
      <c r="F20" s="29">
        <v>1249450</v>
      </c>
      <c r="G20" s="29">
        <v>1499450</v>
      </c>
      <c r="H20" s="30">
        <v>1749450</v>
      </c>
    </row>
  </sheetData>
  <mergeCells count="4">
    <mergeCell ref="B2:C2"/>
    <mergeCell ref="B11:H11"/>
    <mergeCell ref="D13:H13"/>
    <mergeCell ref="B15:B20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9"/>
  <sheetViews>
    <sheetView tabSelected="1" workbookViewId="0">
      <selection activeCell="A2" sqref="A2:F9"/>
    </sheetView>
  </sheetViews>
  <sheetFormatPr defaultRowHeight="16.5" x14ac:dyDescent="0.3"/>
  <cols>
    <col min="5" max="6" width="11.625" bestFit="1" customWidth="1"/>
  </cols>
  <sheetData>
    <row r="1" spans="1:6" x14ac:dyDescent="0.3">
      <c r="A1" s="3" t="s">
        <v>122</v>
      </c>
      <c r="B1" s="3" t="s">
        <v>123</v>
      </c>
      <c r="C1" s="3"/>
      <c r="D1" s="3"/>
      <c r="E1" s="3"/>
      <c r="F1" s="3"/>
    </row>
    <row r="2" spans="1:6" x14ac:dyDescent="0.3">
      <c r="A2" s="65" t="s">
        <v>124</v>
      </c>
      <c r="B2" s="65" t="s">
        <v>125</v>
      </c>
      <c r="C2" s="65" t="s">
        <v>126</v>
      </c>
      <c r="D2" s="65" t="s">
        <v>127</v>
      </c>
      <c r="E2" s="65" t="s">
        <v>128</v>
      </c>
      <c r="F2" s="65" t="s">
        <v>129</v>
      </c>
    </row>
    <row r="3" spans="1:6" x14ac:dyDescent="0.3">
      <c r="A3" s="44" t="s">
        <v>130</v>
      </c>
      <c r="B3" s="44">
        <v>37000</v>
      </c>
      <c r="C3" s="44">
        <v>100</v>
      </c>
      <c r="D3" s="44">
        <v>0.03</v>
      </c>
      <c r="E3" s="44">
        <v>3700000</v>
      </c>
      <c r="F3" s="44">
        <v>4440000</v>
      </c>
    </row>
    <row r="4" spans="1:6" x14ac:dyDescent="0.3">
      <c r="A4" s="44" t="s">
        <v>131</v>
      </c>
      <c r="B4" s="44">
        <v>4500</v>
      </c>
      <c r="C4" s="44">
        <v>1200</v>
      </c>
      <c r="D4" s="44">
        <v>0.02</v>
      </c>
      <c r="E4" s="44">
        <v>5400000</v>
      </c>
      <c r="F4" s="44">
        <v>6480000</v>
      </c>
    </row>
    <row r="5" spans="1:6" x14ac:dyDescent="0.3">
      <c r="A5" s="44" t="s">
        <v>132</v>
      </c>
      <c r="B5" s="44">
        <v>6500</v>
      </c>
      <c r="C5" s="44">
        <v>2200</v>
      </c>
      <c r="D5" s="44">
        <v>0.05</v>
      </c>
      <c r="E5" s="44">
        <v>14300000</v>
      </c>
      <c r="F5" s="44">
        <v>17160000</v>
      </c>
    </row>
    <row r="6" spans="1:6" x14ac:dyDescent="0.3">
      <c r="A6" s="44" t="s">
        <v>133</v>
      </c>
      <c r="B6" s="44">
        <v>32500</v>
      </c>
      <c r="C6" s="44">
        <v>450</v>
      </c>
      <c r="D6" s="44">
        <v>7.0000000000000007E-2</v>
      </c>
      <c r="E6" s="44">
        <v>14625000</v>
      </c>
      <c r="F6" s="44">
        <v>17550000</v>
      </c>
    </row>
    <row r="7" spans="1:6" x14ac:dyDescent="0.3">
      <c r="A7" s="44" t="s">
        <v>134</v>
      </c>
      <c r="B7" s="44">
        <v>6600</v>
      </c>
      <c r="C7" s="44">
        <v>660</v>
      </c>
      <c r="D7" s="44">
        <v>0.05</v>
      </c>
      <c r="E7" s="44">
        <v>4356000</v>
      </c>
      <c r="F7" s="44">
        <v>5227200</v>
      </c>
    </row>
    <row r="8" spans="1:6" x14ac:dyDescent="0.3">
      <c r="A8" s="44" t="s">
        <v>135</v>
      </c>
      <c r="B8" s="44">
        <v>78000</v>
      </c>
      <c r="C8" s="44">
        <v>89</v>
      </c>
      <c r="D8" s="44">
        <v>0.05</v>
      </c>
      <c r="E8" s="44">
        <v>6942000</v>
      </c>
      <c r="F8" s="44">
        <v>8330400</v>
      </c>
    </row>
    <row r="9" spans="1:6" x14ac:dyDescent="0.3">
      <c r="A9" s="64" t="s">
        <v>136</v>
      </c>
      <c r="B9" s="64"/>
      <c r="C9" s="64"/>
      <c r="D9" s="64"/>
      <c r="E9" s="44">
        <f>AVERAGE(E3:E8)</f>
        <v>8220500</v>
      </c>
      <c r="F9" s="44">
        <f>AVERAGE(F3:F8)</f>
        <v>9864600</v>
      </c>
    </row>
  </sheetData>
  <mergeCells count="1">
    <mergeCell ref="A9:D9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9"/>
  <sheetViews>
    <sheetView topLeftCell="A16" zoomScaleNormal="100" workbookViewId="0">
      <selection activeCell="L27" sqref="L27"/>
    </sheetView>
  </sheetViews>
  <sheetFormatPr defaultRowHeight="16.5" x14ac:dyDescent="0.3"/>
  <cols>
    <col min="1" max="1" width="12.75" customWidth="1"/>
    <col min="2" max="2" width="10.75" customWidth="1"/>
    <col min="3" max="3" width="12.375" customWidth="1"/>
    <col min="4" max="4" width="11.125" customWidth="1"/>
  </cols>
  <sheetData>
    <row r="1" spans="1:4" x14ac:dyDescent="0.3">
      <c r="A1" s="31" t="s">
        <v>137</v>
      </c>
      <c r="B1" s="32"/>
      <c r="C1" s="33"/>
      <c r="D1" s="33" t="s">
        <v>138</v>
      </c>
    </row>
    <row r="2" spans="1:4" x14ac:dyDescent="0.3">
      <c r="A2" s="4" t="s">
        <v>139</v>
      </c>
      <c r="B2" s="34" t="s">
        <v>140</v>
      </c>
      <c r="C2" s="34" t="s">
        <v>141</v>
      </c>
      <c r="D2" s="34" t="s">
        <v>142</v>
      </c>
    </row>
    <row r="3" spans="1:4" x14ac:dyDescent="0.3">
      <c r="A3" s="35" t="s">
        <v>143</v>
      </c>
      <c r="B3" s="36">
        <v>4270</v>
      </c>
      <c r="C3" s="36">
        <v>809000</v>
      </c>
      <c r="D3" s="36">
        <v>31800</v>
      </c>
    </row>
    <row r="4" spans="1:4" x14ac:dyDescent="0.3">
      <c r="A4" s="35" t="s">
        <v>144</v>
      </c>
      <c r="B4" s="36">
        <v>5500</v>
      </c>
      <c r="C4" s="36">
        <v>1766000</v>
      </c>
      <c r="D4" s="36">
        <v>49900</v>
      </c>
    </row>
    <row r="5" spans="1:4" x14ac:dyDescent="0.3">
      <c r="A5" s="35" t="s">
        <v>145</v>
      </c>
      <c r="B5" s="36">
        <v>1597</v>
      </c>
      <c r="C5" s="36">
        <v>526000</v>
      </c>
      <c r="D5" s="36">
        <v>4100</v>
      </c>
    </row>
    <row r="6" spans="1:4" x14ac:dyDescent="0.3">
      <c r="A6" s="35" t="s">
        <v>146</v>
      </c>
      <c r="B6" s="36">
        <v>2984</v>
      </c>
      <c r="C6" s="36">
        <v>985000</v>
      </c>
      <c r="D6" s="36">
        <v>6200</v>
      </c>
    </row>
    <row r="7" spans="1:4" x14ac:dyDescent="0.3">
      <c r="A7" s="35" t="s">
        <v>147</v>
      </c>
      <c r="B7" s="36">
        <v>670</v>
      </c>
      <c r="C7" s="36">
        <v>51000</v>
      </c>
      <c r="D7" s="36">
        <v>1500</v>
      </c>
    </row>
    <row r="8" spans="1:4" x14ac:dyDescent="0.3">
      <c r="A8" s="35" t="s">
        <v>148</v>
      </c>
      <c r="B8" s="36">
        <v>3890</v>
      </c>
      <c r="C8" s="36">
        <v>672000</v>
      </c>
      <c r="D8" s="36">
        <v>26900</v>
      </c>
    </row>
    <row r="9" spans="1:4" x14ac:dyDescent="0.3">
      <c r="A9" s="35" t="s">
        <v>149</v>
      </c>
      <c r="B9" s="37">
        <v>1340</v>
      </c>
      <c r="C9" s="37">
        <v>489000</v>
      </c>
      <c r="D9" s="37">
        <v>5600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2020-04-06T00:11:56Z</dcterms:created>
  <dcterms:modified xsi:type="dcterms:W3CDTF">2026-09-18T11:18:39Z</dcterms:modified>
</cp:coreProperties>
</file>